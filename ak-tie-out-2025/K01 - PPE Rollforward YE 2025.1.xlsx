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GL Recon &amp; Admin\Audit Workpapers\2025 Audit Workpapers\Year-end Requests\K - PPE\K01 - PPE Rollforward\"/>
    </mc:Choice>
  </mc:AlternateContent>
  <xr:revisionPtr revIDLastSave="0" documentId="13_ncr:1_{43FBDF49-FFC0-4154-A36F-4A3D3561D8C9}" xr6:coauthVersionLast="47" xr6:coauthVersionMax="47" xr10:uidLastSave="{00000000-0000-0000-0000-000000000000}"/>
  <bookViews>
    <workbookView xWindow="-120" yWindow="-120" windowWidth="29040" windowHeight="15720" xr2:uid="{46811198-1A6F-4737-8B9E-24DCD3B4A97F}"/>
  </bookViews>
  <sheets>
    <sheet name="1. PPE Rollforward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26" i="1"/>
  <c r="G10" i="1"/>
  <c r="M32" i="1" l="1"/>
  <c r="K32" i="1"/>
  <c r="I32" i="1"/>
  <c r="G32" i="1"/>
  <c r="E32" i="1"/>
  <c r="C32" i="1"/>
  <c r="O31" i="1"/>
  <c r="O30" i="1"/>
  <c r="O29" i="1"/>
  <c r="O28" i="1"/>
  <c r="O27" i="1"/>
  <c r="O26" i="1"/>
  <c r="O25" i="1"/>
  <c r="O24" i="1"/>
  <c r="O23" i="1"/>
  <c r="O22" i="1"/>
  <c r="O17" i="1"/>
  <c r="M16" i="1"/>
  <c r="M18" i="1" s="1"/>
  <c r="K16" i="1"/>
  <c r="K18" i="1" s="1"/>
  <c r="I16" i="1"/>
  <c r="I18" i="1" s="1"/>
  <c r="G16" i="1"/>
  <c r="G18" i="1" s="1"/>
  <c r="E16" i="1"/>
  <c r="E18" i="1" s="1"/>
  <c r="C16" i="1"/>
  <c r="C18" i="1" s="1"/>
  <c r="O15" i="1"/>
  <c r="O14" i="1"/>
  <c r="O13" i="1"/>
  <c r="O12" i="1"/>
  <c r="O11" i="1"/>
  <c r="O10" i="1"/>
  <c r="O9" i="1"/>
  <c r="O8" i="1"/>
  <c r="O7" i="1"/>
  <c r="O6" i="1"/>
  <c r="O5" i="1"/>
  <c r="K34" i="1" l="1"/>
  <c r="I34" i="1"/>
  <c r="G34" i="1"/>
  <c r="O32" i="1"/>
  <c r="O16" i="1"/>
  <c r="C34" i="1"/>
  <c r="M34" i="1"/>
  <c r="O18" i="1" l="1"/>
  <c r="O34" i="1" s="1"/>
</calcChain>
</file>

<file path=xl/sharedStrings.xml><?xml version="1.0" encoding="utf-8"?>
<sst xmlns="http://schemas.openxmlformats.org/spreadsheetml/2006/main" count="65" uniqueCount="57">
  <si>
    <t>CityServiceValcon, LLC</t>
  </si>
  <si>
    <t>Fixed Asset Rollforward</t>
  </si>
  <si>
    <t>1/1/2025 - 12/31/2025</t>
  </si>
  <si>
    <t>Fixed Asset Classes</t>
  </si>
  <si>
    <t>GL Account</t>
  </si>
  <si>
    <t>Additions</t>
  </si>
  <si>
    <t>Disposals</t>
  </si>
  <si>
    <t>Transfers</t>
  </si>
  <si>
    <t>Other Adjustments</t>
  </si>
  <si>
    <t>Effect of FX</t>
  </si>
  <si>
    <t>12/31/25
Ending Balance</t>
  </si>
  <si>
    <t>Land</t>
  </si>
  <si>
    <t>15020-00000-00</t>
  </si>
  <si>
    <t>Land Improvments</t>
  </si>
  <si>
    <t>15030-00000-00</t>
  </si>
  <si>
    <t>Buildings</t>
  </si>
  <si>
    <t>15040-00000-00</t>
  </si>
  <si>
    <t>Leasehold Improvements</t>
  </si>
  <si>
    <t>15050-00000-00</t>
  </si>
  <si>
    <t>Office Equipment</t>
  </si>
  <si>
    <t>15060-00000-00</t>
  </si>
  <si>
    <t>Vehicles</t>
  </si>
  <si>
    <t>15070-00000-00</t>
  </si>
  <si>
    <t>Equipment</t>
  </si>
  <si>
    <t>15080-00000-00</t>
  </si>
  <si>
    <t>Cardlock Equipment</t>
  </si>
  <si>
    <t>15090-00000-00</t>
  </si>
  <si>
    <t>Customer Loaned Equipment</t>
  </si>
  <si>
    <t>15110-00000-00</t>
  </si>
  <si>
    <t>Propane Tanks</t>
  </si>
  <si>
    <t>15130-00000-00</t>
  </si>
  <si>
    <t>Fuel Tanks</t>
  </si>
  <si>
    <t>15140-00000-00</t>
  </si>
  <si>
    <t>CIP</t>
  </si>
  <si>
    <t>Depr Exp</t>
  </si>
  <si>
    <t>A/D - Land Improvements</t>
  </si>
  <si>
    <t>16030-00000-00</t>
  </si>
  <si>
    <t xml:space="preserve">A/D - Buildings </t>
  </si>
  <si>
    <t>16040-00000-00</t>
  </si>
  <si>
    <t>A/D - Leasehold Improvements</t>
  </si>
  <si>
    <t>16050-00000-00</t>
  </si>
  <si>
    <t>A/D - Office Equipment</t>
  </si>
  <si>
    <t>16060-00000-00</t>
  </si>
  <si>
    <t>A/D - Vehicles</t>
  </si>
  <si>
    <t>16070-00000-00</t>
  </si>
  <si>
    <t>A/D - Equipment</t>
  </si>
  <si>
    <t>16080-00000-00</t>
  </si>
  <si>
    <t>A/D - Cardlock Equipment</t>
  </si>
  <si>
    <t>16090-00000-00</t>
  </si>
  <si>
    <t>A/D - Customer Loaned Equipment</t>
  </si>
  <si>
    <t>16110-00000-00</t>
  </si>
  <si>
    <t>A/D - Propane Tanks</t>
  </si>
  <si>
    <t>16130-00000-00</t>
  </si>
  <si>
    <t>A/D - Fuel Tanks</t>
  </si>
  <si>
    <t>16140-00000-00</t>
  </si>
  <si>
    <t>Net Book Value</t>
  </si>
  <si>
    <t>1/1/2025
 Beginning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</si>
</sst>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0000FF"/>
      <name val="Arial"/>
      <family val="2"/>
    </font>
    <font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39" fontId="2" fillId="2" borderId="1" xfId="2" applyNumberFormat="1" applyFont="1" applyFill="1" applyBorder="1" applyAlignment="1" applyProtection="1">
      <alignment horizontal="center" vertical="center"/>
      <protection locked="0"/>
    </xf>
    <xf numFmtId="39" fontId="2" fillId="2" borderId="2" xfId="2" applyNumberFormat="1" applyFont="1" applyFill="1" applyBorder="1" applyAlignment="1" applyProtection="1">
      <alignment horizontal="center" vertical="center"/>
      <protection locked="0"/>
    </xf>
    <xf numFmtId="39" fontId="2" fillId="2" borderId="2" xfId="2" applyNumberFormat="1" applyFont="1" applyFill="1" applyBorder="1" applyAlignment="1" applyProtection="1">
      <alignment horizontal="center" vertical="center" wrapText="1"/>
      <protection locked="0"/>
    </xf>
    <xf numFmtId="39" fontId="2" fillId="2" borderId="3" xfId="2" applyNumberFormat="1" applyFont="1" applyFill="1" applyBorder="1" applyAlignment="1" applyProtection="1">
      <alignment horizontal="center" vertical="center" wrapText="1"/>
      <protection locked="0"/>
    </xf>
    <xf numFmtId="164" fontId="3" fillId="0" borderId="0" xfId="1" applyNumberFormat="1" applyFont="1"/>
    <xf numFmtId="164" fontId="3" fillId="0" borderId="0" xfId="1" applyNumberFormat="1" applyFont="1" applyFill="1"/>
    <xf numFmtId="164" fontId="3" fillId="0" borderId="0" xfId="0" applyNumberFormat="1" applyFont="1"/>
    <xf numFmtId="164" fontId="3" fillId="0" borderId="4" xfId="1" applyNumberFormat="1" applyFont="1" applyBorder="1"/>
    <xf numFmtId="164" fontId="3" fillId="0" borderId="4" xfId="1" applyNumberFormat="1" applyFont="1" applyFill="1" applyBorder="1"/>
    <xf numFmtId="43" fontId="4" fillId="0" borderId="0" xfId="1" applyFont="1" applyFill="1" applyAlignment="1">
      <alignment horizontal="right"/>
    </xf>
    <xf numFmtId="43" fontId="3" fillId="0" borderId="0" xfId="1" applyFont="1" applyFill="1"/>
    <xf numFmtId="164" fontId="3" fillId="0" borderId="5" xfId="1" applyNumberFormat="1" applyFont="1" applyFill="1" applyBorder="1"/>
    <xf numFmtId="164" fontId="3" fillId="0" borderId="5" xfId="1" applyNumberFormat="1" applyFont="1" applyBorder="1"/>
    <xf numFmtId="164" fontId="3" fillId="0" borderId="0" xfId="1" applyNumberFormat="1" applyFont="1" applyBorder="1"/>
    <xf numFmtId="0" fontId="4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Normal 55" xfId="2" xr:uid="{BFC16C7A-913C-4982-9ADE-45F4F1FFB1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B70B-0268-4386-9C7F-2CCBAC825E98}">
  <dimension ref="A1:O34"/>
  <sheetViews>
    <sheetView tabSelected="1" workbookViewId="0">
      <selection activeCell="V20" sqref="V20"/>
    </sheetView>
  </sheetViews>
  <sheetFormatPr defaultColWidth="8.7109375" defaultRowHeight="11.25" x14ac:dyDescent="0.2"/>
  <cols>
    <col min="1" max="1" width="25.28515625" style="2" bestFit="1" customWidth="1"/>
    <col min="2" max="2" width="12.42578125" style="2" bestFit="1" customWidth="1"/>
    <col min="3" max="3" width="16.140625" style="2" customWidth="1"/>
    <col min="4" max="4" width="2" style="2" customWidth="1"/>
    <col min="5" max="5" width="9.5703125" style="2" bestFit="1" customWidth="1"/>
    <col min="6" max="6" width="2" style="2" customWidth="1"/>
    <col min="7" max="7" width="9.5703125" style="2" bestFit="1" customWidth="1"/>
    <col min="8" max="8" width="2" style="2" customWidth="1"/>
    <col min="9" max="9" width="9.5703125" style="2" bestFit="1" customWidth="1"/>
    <col min="10" max="10" width="2" style="2" customWidth="1"/>
    <col min="11" max="11" width="11.42578125" style="2" customWidth="1"/>
    <col min="12" max="12" width="2" style="2" customWidth="1"/>
    <col min="13" max="13" width="9" style="2" bestFit="1" customWidth="1"/>
    <col min="14" max="14" width="2" style="2" customWidth="1"/>
    <col min="15" max="15" width="15.28515625" style="2" customWidth="1"/>
    <col min="16" max="16384" width="8.7109375" style="2"/>
  </cols>
  <sheetData>
    <row r="1" spans="1:15" x14ac:dyDescent="0.2">
      <c r="A1" s="1" t="s">
        <v>0</v>
      </c>
    </row>
    <row r="2" spans="1:15" x14ac:dyDescent="0.2">
      <c r="A2" s="1" t="s">
        <v>1</v>
      </c>
    </row>
    <row r="3" spans="1:15" ht="12" thickBot="1" x14ac:dyDescent="0.25">
      <c r="A3" s="1" t="s">
        <v>2</v>
      </c>
      <c r="O3" s="3"/>
    </row>
    <row r="4" spans="1:15" ht="23.25" thickBot="1" x14ac:dyDescent="0.25">
      <c r="A4" s="4" t="s">
        <v>3</v>
      </c>
      <c r="B4" s="5" t="s">
        <v>4</v>
      </c>
      <c r="C4" s="6" t="s">
        <v>56</v>
      </c>
      <c r="D4" s="5"/>
      <c r="E4" s="5" t="s">
        <v>5</v>
      </c>
      <c r="F4" s="5"/>
      <c r="G4" s="5" t="s">
        <v>6</v>
      </c>
      <c r="H4" s="5"/>
      <c r="I4" s="5" t="s">
        <v>7</v>
      </c>
      <c r="J4" s="5"/>
      <c r="K4" s="6" t="s">
        <v>8</v>
      </c>
      <c r="L4" s="5"/>
      <c r="M4" s="6" t="s">
        <v>9</v>
      </c>
      <c r="N4" s="5"/>
      <c r="O4" s="7" t="s">
        <v>10</v>
      </c>
    </row>
    <row r="5" spans="1:15" x14ac:dyDescent="0.2">
      <c r="A5" s="2" t="s">
        <v>11</v>
      </c>
      <c r="B5" s="2" t="s">
        <v>12</v>
      </c>
      <c r="C5" s="8">
        <v>9933500</v>
      </c>
      <c r="D5" s="9"/>
      <c r="E5" s="9">
        <v>0</v>
      </c>
      <c r="F5" s="9"/>
      <c r="G5" s="9">
        <v>0</v>
      </c>
      <c r="H5" s="9"/>
      <c r="I5" s="9">
        <v>0</v>
      </c>
      <c r="J5" s="9"/>
      <c r="K5" s="9">
        <v>0</v>
      </c>
      <c r="L5" s="9"/>
      <c r="M5" s="9">
        <v>0</v>
      </c>
      <c r="N5" s="8"/>
      <c r="O5" s="8">
        <f>SUM(C5:M5)</f>
        <v>9933500</v>
      </c>
    </row>
    <row r="6" spans="1:15" x14ac:dyDescent="0.2">
      <c r="A6" s="2" t="s">
        <v>13</v>
      </c>
      <c r="B6" s="2" t="s">
        <v>14</v>
      </c>
      <c r="C6" s="8">
        <v>102989.5</v>
      </c>
      <c r="D6" s="9"/>
      <c r="E6" s="9">
        <v>30193</v>
      </c>
      <c r="F6" s="9"/>
      <c r="G6" s="9">
        <v>0</v>
      </c>
      <c r="H6" s="9"/>
      <c r="I6" s="9">
        <v>0</v>
      </c>
      <c r="J6" s="9"/>
      <c r="K6" s="9">
        <v>0</v>
      </c>
      <c r="L6" s="9"/>
      <c r="M6" s="9">
        <v>0</v>
      </c>
      <c r="N6" s="8"/>
      <c r="O6" s="8">
        <f t="shared" ref="O6:O15" si="0">SUM(C6:M6)</f>
        <v>133182.5</v>
      </c>
    </row>
    <row r="7" spans="1:15" x14ac:dyDescent="0.2">
      <c r="A7" s="2" t="s">
        <v>15</v>
      </c>
      <c r="B7" s="2" t="s">
        <v>16</v>
      </c>
      <c r="C7" s="8">
        <v>4577824.13</v>
      </c>
      <c r="D7" s="9"/>
      <c r="E7" s="9">
        <v>0</v>
      </c>
      <c r="F7" s="9"/>
      <c r="G7" s="9">
        <v>0</v>
      </c>
      <c r="H7" s="9"/>
      <c r="I7" s="9">
        <v>170872.04</v>
      </c>
      <c r="J7" s="9"/>
      <c r="K7" s="9">
        <v>0</v>
      </c>
      <c r="L7" s="9"/>
      <c r="M7" s="9">
        <v>0</v>
      </c>
      <c r="N7" s="8"/>
      <c r="O7" s="8">
        <f t="shared" si="0"/>
        <v>4748696.17</v>
      </c>
    </row>
    <row r="8" spans="1:15" x14ac:dyDescent="0.2">
      <c r="A8" s="2" t="s">
        <v>17</v>
      </c>
      <c r="B8" s="2" t="s">
        <v>18</v>
      </c>
      <c r="C8" s="8">
        <v>1053600</v>
      </c>
      <c r="D8" s="9"/>
      <c r="E8" s="9">
        <v>0</v>
      </c>
      <c r="F8" s="9"/>
      <c r="G8" s="9">
        <v>-35200</v>
      </c>
      <c r="H8" s="9"/>
      <c r="I8" s="9">
        <v>78079.990000000005</v>
      </c>
      <c r="J8" s="9"/>
      <c r="K8" s="9">
        <v>0</v>
      </c>
      <c r="L8" s="9"/>
      <c r="M8" s="9">
        <v>0</v>
      </c>
      <c r="N8" s="8"/>
      <c r="O8" s="8">
        <f t="shared" si="0"/>
        <v>1096479.99</v>
      </c>
    </row>
    <row r="9" spans="1:15" x14ac:dyDescent="0.2">
      <c r="A9" s="2" t="s">
        <v>19</v>
      </c>
      <c r="B9" s="2" t="s">
        <v>20</v>
      </c>
      <c r="C9" s="8">
        <v>1497790.72</v>
      </c>
      <c r="D9" s="9"/>
      <c r="E9" s="9">
        <v>34100</v>
      </c>
      <c r="F9" s="9"/>
      <c r="G9" s="9">
        <v>-20270</v>
      </c>
      <c r="H9" s="9"/>
      <c r="I9" s="9">
        <v>16269.2</v>
      </c>
      <c r="J9" s="9"/>
      <c r="K9" s="9">
        <v>0</v>
      </c>
      <c r="L9" s="9"/>
      <c r="M9" s="9">
        <v>0</v>
      </c>
      <c r="N9" s="8"/>
      <c r="O9" s="8">
        <f t="shared" si="0"/>
        <v>1527889.9199999999</v>
      </c>
    </row>
    <row r="10" spans="1:15" x14ac:dyDescent="0.2">
      <c r="A10" s="2" t="s">
        <v>21</v>
      </c>
      <c r="B10" s="2" t="s">
        <v>22</v>
      </c>
      <c r="C10" s="8">
        <v>27938169.329999998</v>
      </c>
      <c r="D10" s="9"/>
      <c r="E10" s="9">
        <v>447761.52</v>
      </c>
      <c r="F10" s="9"/>
      <c r="G10" s="9">
        <f>-317317.67-1356652.11</f>
        <v>-1673969.78</v>
      </c>
      <c r="H10" s="9"/>
      <c r="I10" s="9">
        <v>3884515.37</v>
      </c>
      <c r="J10" s="9"/>
      <c r="K10" s="9">
        <v>0</v>
      </c>
      <c r="L10" s="9"/>
      <c r="M10" s="9">
        <v>0</v>
      </c>
      <c r="N10" s="8"/>
      <c r="O10" s="8">
        <f t="shared" si="0"/>
        <v>30596476.439999998</v>
      </c>
    </row>
    <row r="11" spans="1:15" x14ac:dyDescent="0.2">
      <c r="A11" s="2" t="s">
        <v>23</v>
      </c>
      <c r="B11" s="2" t="s">
        <v>24</v>
      </c>
      <c r="C11" s="8">
        <v>3112869.39</v>
      </c>
      <c r="D11" s="9"/>
      <c r="E11" s="9">
        <v>0</v>
      </c>
      <c r="F11" s="9"/>
      <c r="G11" s="9">
        <v>-65700</v>
      </c>
      <c r="H11" s="9"/>
      <c r="I11" s="9">
        <v>131763.35999999999</v>
      </c>
      <c r="J11" s="9"/>
      <c r="K11" s="9">
        <v>0</v>
      </c>
      <c r="L11" s="9"/>
      <c r="M11" s="9">
        <v>0</v>
      </c>
      <c r="N11" s="8"/>
      <c r="O11" s="8">
        <f t="shared" si="0"/>
        <v>3178932.75</v>
      </c>
    </row>
    <row r="12" spans="1:15" x14ac:dyDescent="0.2">
      <c r="A12" s="2" t="s">
        <v>25</v>
      </c>
      <c r="B12" s="2" t="s">
        <v>26</v>
      </c>
      <c r="C12" s="8">
        <v>4050691.86</v>
      </c>
      <c r="D12" s="9"/>
      <c r="E12" s="9">
        <v>393454.76</v>
      </c>
      <c r="F12" s="9"/>
      <c r="G12" s="9">
        <v>-172680</v>
      </c>
      <c r="H12" s="9"/>
      <c r="I12" s="9">
        <v>143857.70000000001</v>
      </c>
      <c r="J12" s="9"/>
      <c r="K12" s="9">
        <v>0</v>
      </c>
      <c r="L12" s="9"/>
      <c r="M12" s="9">
        <v>0</v>
      </c>
      <c r="N12" s="8"/>
      <c r="O12" s="8">
        <f t="shared" si="0"/>
        <v>4415324.32</v>
      </c>
    </row>
    <row r="13" spans="1:15" x14ac:dyDescent="0.2">
      <c r="A13" s="2" t="s">
        <v>27</v>
      </c>
      <c r="B13" s="2" t="s">
        <v>28</v>
      </c>
      <c r="C13" s="8">
        <v>666516.17000000004</v>
      </c>
      <c r="D13" s="9"/>
      <c r="E13" s="9">
        <v>8344.68</v>
      </c>
      <c r="F13" s="9"/>
      <c r="G13" s="9">
        <v>0</v>
      </c>
      <c r="H13" s="9"/>
      <c r="I13" s="9">
        <v>0</v>
      </c>
      <c r="J13" s="9"/>
      <c r="K13" s="9">
        <v>0</v>
      </c>
      <c r="L13" s="9"/>
      <c r="M13" s="9">
        <v>0</v>
      </c>
      <c r="N13" s="8"/>
      <c r="O13" s="8">
        <f t="shared" si="0"/>
        <v>674860.85000000009</v>
      </c>
    </row>
    <row r="14" spans="1:15" x14ac:dyDescent="0.2">
      <c r="A14" s="2" t="s">
        <v>29</v>
      </c>
      <c r="B14" s="2" t="s">
        <v>30</v>
      </c>
      <c r="C14" s="8">
        <v>16378798.25</v>
      </c>
      <c r="D14" s="9"/>
      <c r="E14" s="9">
        <v>38470.04</v>
      </c>
      <c r="F14" s="9"/>
      <c r="G14" s="9">
        <v>0</v>
      </c>
      <c r="H14" s="9"/>
      <c r="I14" s="9">
        <v>498475.15</v>
      </c>
      <c r="J14" s="9"/>
      <c r="K14" s="9">
        <v>0</v>
      </c>
      <c r="L14" s="9"/>
      <c r="M14" s="9">
        <v>0</v>
      </c>
      <c r="N14" s="8"/>
      <c r="O14" s="8">
        <f t="shared" si="0"/>
        <v>16915743.439999998</v>
      </c>
    </row>
    <row r="15" spans="1:15" x14ac:dyDescent="0.2">
      <c r="A15" s="2" t="s">
        <v>31</v>
      </c>
      <c r="B15" s="2" t="s">
        <v>32</v>
      </c>
      <c r="C15" s="11">
        <v>142533.79999999999</v>
      </c>
      <c r="D15" s="9"/>
      <c r="E15" s="12">
        <v>23159.09</v>
      </c>
      <c r="F15" s="9"/>
      <c r="G15" s="12">
        <v>0</v>
      </c>
      <c r="H15" s="9"/>
      <c r="I15" s="12">
        <v>52002.82</v>
      </c>
      <c r="J15" s="9"/>
      <c r="K15" s="12">
        <v>0</v>
      </c>
      <c r="L15" s="9"/>
      <c r="M15" s="12">
        <v>0</v>
      </c>
      <c r="N15" s="8"/>
      <c r="O15" s="11">
        <f t="shared" si="0"/>
        <v>217695.71</v>
      </c>
    </row>
    <row r="16" spans="1:15" x14ac:dyDescent="0.2">
      <c r="B16" s="13"/>
      <c r="C16" s="9">
        <f>SUM(C5:C15)</f>
        <v>69455283.149999991</v>
      </c>
      <c r="D16" s="9"/>
      <c r="E16" s="9">
        <f>SUM(E5:E15)</f>
        <v>975483.09000000008</v>
      </c>
      <c r="F16" s="9"/>
      <c r="G16" s="9">
        <f>SUM(G5:G15)</f>
        <v>-1967819.78</v>
      </c>
      <c r="H16" s="9"/>
      <c r="I16" s="9">
        <f>SUM(I5:I15)</f>
        <v>4975835.6300000008</v>
      </c>
      <c r="J16" s="9"/>
      <c r="K16" s="9">
        <f>SUM(K5:K15)</f>
        <v>0</v>
      </c>
      <c r="L16" s="9"/>
      <c r="M16" s="9">
        <f>SUM(M5:M15)</f>
        <v>0</v>
      </c>
      <c r="N16" s="8"/>
      <c r="O16" s="8">
        <f>SUM(O5:O15)</f>
        <v>73438782.089999989</v>
      </c>
    </row>
    <row r="17" spans="1:15" x14ac:dyDescent="0.2">
      <c r="A17" s="2" t="s">
        <v>33</v>
      </c>
      <c r="B17" s="14"/>
      <c r="C17" s="9">
        <v>1543285.46</v>
      </c>
      <c r="D17" s="9"/>
      <c r="E17" s="9">
        <v>5994680.29</v>
      </c>
      <c r="F17" s="9"/>
      <c r="G17" s="9">
        <f>-16757.44-176824</f>
        <v>-193581.44</v>
      </c>
      <c r="H17" s="9"/>
      <c r="I17" s="9">
        <v>-4645414.13</v>
      </c>
      <c r="J17" s="9"/>
      <c r="K17" s="9"/>
      <c r="L17" s="9"/>
      <c r="M17" s="9"/>
      <c r="N17" s="8"/>
      <c r="O17" s="8">
        <f t="shared" ref="O17" si="1">C17+E17+G17+I17+K17+M17</f>
        <v>2698970.1799999997</v>
      </c>
    </row>
    <row r="18" spans="1:15" ht="12" thickBot="1" x14ac:dyDescent="0.25">
      <c r="B18" s="13"/>
      <c r="C18" s="15">
        <f>SUM(C16:C17)</f>
        <v>70998568.609999985</v>
      </c>
      <c r="D18" s="15"/>
      <c r="E18" s="15">
        <f>SUM(E16:E17)</f>
        <v>6970163.3799999999</v>
      </c>
      <c r="F18" s="15"/>
      <c r="G18" s="15">
        <f>SUM(G16:G17)</f>
        <v>-2161401.2200000002</v>
      </c>
      <c r="H18" s="15"/>
      <c r="I18" s="15">
        <f>SUM(I16:I17)</f>
        <v>330421.50000000093</v>
      </c>
      <c r="J18" s="15"/>
      <c r="K18" s="15">
        <f>SUM(K16:K17)</f>
        <v>0</v>
      </c>
      <c r="L18" s="15"/>
      <c r="M18" s="15">
        <f>SUM(M16:M17)</f>
        <v>0</v>
      </c>
      <c r="N18" s="16"/>
      <c r="O18" s="16">
        <f>SUM(O16:O17)</f>
        <v>76137752.269999981</v>
      </c>
    </row>
    <row r="19" spans="1:15" ht="12" thickTop="1" x14ac:dyDescent="0.2"/>
    <row r="20" spans="1:15" ht="12" thickBot="1" x14ac:dyDescent="0.25">
      <c r="E20" s="10"/>
    </row>
    <row r="21" spans="1:15" ht="23.25" thickBot="1" x14ac:dyDescent="0.25">
      <c r="A21" s="4" t="s">
        <v>3</v>
      </c>
      <c r="B21" s="5" t="s">
        <v>4</v>
      </c>
      <c r="C21" s="6" t="s">
        <v>56</v>
      </c>
      <c r="D21" s="5"/>
      <c r="E21" s="5" t="s">
        <v>34</v>
      </c>
      <c r="F21" s="5"/>
      <c r="G21" s="5" t="s">
        <v>6</v>
      </c>
      <c r="H21" s="5"/>
      <c r="I21" s="5" t="s">
        <v>7</v>
      </c>
      <c r="J21" s="5"/>
      <c r="K21" s="6" t="s">
        <v>8</v>
      </c>
      <c r="L21" s="5"/>
      <c r="M21" s="6" t="s">
        <v>9</v>
      </c>
      <c r="N21" s="5"/>
      <c r="O21" s="7" t="s">
        <v>10</v>
      </c>
    </row>
    <row r="22" spans="1:15" x14ac:dyDescent="0.2">
      <c r="A22" s="2" t="s">
        <v>35</v>
      </c>
      <c r="B22" s="2" t="s">
        <v>36</v>
      </c>
      <c r="C22" s="9">
        <v>-1716.5</v>
      </c>
      <c r="D22" s="9"/>
      <c r="E22" s="9">
        <v>-5000.21</v>
      </c>
      <c r="F22" s="9"/>
      <c r="G22" s="9">
        <v>0</v>
      </c>
      <c r="H22" s="9"/>
      <c r="I22" s="9">
        <v>0</v>
      </c>
      <c r="J22" s="9"/>
      <c r="K22" s="9">
        <v>0</v>
      </c>
      <c r="L22" s="9"/>
      <c r="M22" s="9">
        <v>0</v>
      </c>
      <c r="N22" s="8"/>
      <c r="O22" s="8">
        <f t="shared" ref="O22:O31" si="2">SUM(C22:M22)</f>
        <v>-6716.71</v>
      </c>
    </row>
    <row r="23" spans="1:15" x14ac:dyDescent="0.2">
      <c r="A23" s="2" t="s">
        <v>37</v>
      </c>
      <c r="B23" s="2" t="s">
        <v>38</v>
      </c>
      <c r="C23" s="8">
        <v>-1200179.93</v>
      </c>
      <c r="D23" s="9"/>
      <c r="E23" s="9">
        <v>-427013.43</v>
      </c>
      <c r="F23" s="9"/>
      <c r="G23" s="9">
        <v>0</v>
      </c>
      <c r="H23" s="9"/>
      <c r="I23" s="9">
        <v>0</v>
      </c>
      <c r="J23" s="9"/>
      <c r="K23" s="9">
        <v>0</v>
      </c>
      <c r="L23" s="9"/>
      <c r="M23" s="9">
        <v>0</v>
      </c>
      <c r="N23" s="8"/>
      <c r="O23" s="8">
        <f t="shared" si="2"/>
        <v>-1627193.3599999999</v>
      </c>
    </row>
    <row r="24" spans="1:15" x14ac:dyDescent="0.2">
      <c r="A24" s="2" t="s">
        <v>39</v>
      </c>
      <c r="B24" s="2" t="s">
        <v>40</v>
      </c>
      <c r="C24" s="8">
        <v>-427214.16</v>
      </c>
      <c r="D24" s="9"/>
      <c r="E24" s="9">
        <v>-131511.92000000001</v>
      </c>
      <c r="F24" s="9"/>
      <c r="G24" s="9">
        <v>33779.17</v>
      </c>
      <c r="H24" s="9"/>
      <c r="I24" s="9">
        <v>0</v>
      </c>
      <c r="J24" s="9"/>
      <c r="K24" s="9">
        <v>0</v>
      </c>
      <c r="L24" s="9"/>
      <c r="M24" s="9">
        <v>0</v>
      </c>
      <c r="N24" s="8"/>
      <c r="O24" s="8">
        <f t="shared" si="2"/>
        <v>-524946.90999999992</v>
      </c>
    </row>
    <row r="25" spans="1:15" x14ac:dyDescent="0.2">
      <c r="A25" s="2" t="s">
        <v>41</v>
      </c>
      <c r="B25" s="2" t="s">
        <v>42</v>
      </c>
      <c r="C25" s="8">
        <v>-793406.34</v>
      </c>
      <c r="D25" s="9"/>
      <c r="E25" s="9">
        <v>-178811.48</v>
      </c>
      <c r="F25" s="9"/>
      <c r="G25" s="9">
        <v>20270</v>
      </c>
      <c r="H25" s="9"/>
      <c r="I25" s="9">
        <v>0</v>
      </c>
      <c r="J25" s="9"/>
      <c r="K25" s="9">
        <v>0</v>
      </c>
      <c r="L25" s="9"/>
      <c r="M25" s="9">
        <v>0</v>
      </c>
      <c r="N25" s="8"/>
      <c r="O25" s="8">
        <f t="shared" si="2"/>
        <v>-951947.82</v>
      </c>
    </row>
    <row r="26" spans="1:15" x14ac:dyDescent="0.2">
      <c r="A26" s="2" t="s">
        <v>43</v>
      </c>
      <c r="B26" s="2" t="s">
        <v>44</v>
      </c>
      <c r="C26" s="8">
        <v>-11822579.33</v>
      </c>
      <c r="D26" s="9"/>
      <c r="E26" s="9">
        <v>-4510012.71</v>
      </c>
      <c r="F26" s="9"/>
      <c r="G26" s="9">
        <f>669419.32+385034.25</f>
        <v>1054453.5699999998</v>
      </c>
      <c r="H26" s="9"/>
      <c r="I26" s="9">
        <v>-3377.05</v>
      </c>
      <c r="J26" s="9"/>
      <c r="K26" s="9">
        <v>0</v>
      </c>
      <c r="L26" s="9"/>
      <c r="M26" s="9">
        <v>0</v>
      </c>
      <c r="N26" s="8"/>
      <c r="O26" s="8">
        <f t="shared" si="2"/>
        <v>-15281515.52</v>
      </c>
    </row>
    <row r="27" spans="1:15" x14ac:dyDescent="0.2">
      <c r="A27" s="2" t="s">
        <v>45</v>
      </c>
      <c r="B27" s="2" t="s">
        <v>46</v>
      </c>
      <c r="C27" s="8">
        <v>-1148169.06</v>
      </c>
      <c r="D27" s="9"/>
      <c r="E27" s="9">
        <v>-375248.95</v>
      </c>
      <c r="F27" s="9"/>
      <c r="G27" s="9">
        <v>41316.69</v>
      </c>
      <c r="H27" s="9"/>
      <c r="I27" s="9">
        <v>80.02</v>
      </c>
      <c r="J27" s="9"/>
      <c r="K27" s="9">
        <v>0</v>
      </c>
      <c r="L27" s="9"/>
      <c r="M27" s="9">
        <v>0</v>
      </c>
      <c r="N27" s="8"/>
      <c r="O27" s="8">
        <f t="shared" si="2"/>
        <v>-1482021.3</v>
      </c>
    </row>
    <row r="28" spans="1:15" x14ac:dyDescent="0.2">
      <c r="A28" s="2" t="s">
        <v>47</v>
      </c>
      <c r="B28" s="2" t="s">
        <v>48</v>
      </c>
      <c r="C28" s="8">
        <v>-1758943.48</v>
      </c>
      <c r="D28" s="9"/>
      <c r="E28" s="9">
        <v>-526616.53</v>
      </c>
      <c r="F28" s="9"/>
      <c r="G28" s="9">
        <v>96509.16</v>
      </c>
      <c r="H28" s="9"/>
      <c r="I28" s="9">
        <v>55.48</v>
      </c>
      <c r="J28" s="9"/>
      <c r="K28" s="9">
        <v>0</v>
      </c>
      <c r="L28" s="9"/>
      <c r="M28" s="9">
        <v>0</v>
      </c>
      <c r="N28" s="8"/>
      <c r="O28" s="8">
        <f t="shared" si="2"/>
        <v>-2188995.3699999996</v>
      </c>
    </row>
    <row r="29" spans="1:15" x14ac:dyDescent="0.2">
      <c r="A29" s="2" t="s">
        <v>49</v>
      </c>
      <c r="B29" s="2" t="s">
        <v>50</v>
      </c>
      <c r="C29" s="8">
        <v>-175359.51</v>
      </c>
      <c r="D29" s="9"/>
      <c r="E29" s="9">
        <v>-50190.19</v>
      </c>
      <c r="F29" s="9"/>
      <c r="G29" s="9">
        <v>0</v>
      </c>
      <c r="H29" s="9"/>
      <c r="I29" s="9">
        <v>0</v>
      </c>
      <c r="J29" s="9"/>
      <c r="K29" s="9">
        <v>0</v>
      </c>
      <c r="L29" s="9"/>
      <c r="M29" s="9">
        <v>0</v>
      </c>
      <c r="N29" s="8"/>
      <c r="O29" s="8">
        <f t="shared" si="2"/>
        <v>-225549.7</v>
      </c>
    </row>
    <row r="30" spans="1:15" x14ac:dyDescent="0.2">
      <c r="A30" s="2" t="s">
        <v>51</v>
      </c>
      <c r="B30" s="2" t="s">
        <v>52</v>
      </c>
      <c r="C30" s="17">
        <v>-2887501.59</v>
      </c>
      <c r="D30" s="9"/>
      <c r="E30" s="9">
        <v>-1080647.6299999999</v>
      </c>
      <c r="F30" s="9"/>
      <c r="G30" s="9">
        <v>109792.4</v>
      </c>
      <c r="H30" s="9"/>
      <c r="I30" s="9">
        <v>6355.61</v>
      </c>
      <c r="J30" s="9"/>
      <c r="K30" s="9">
        <v>0</v>
      </c>
      <c r="L30" s="9"/>
      <c r="M30" s="9">
        <v>0</v>
      </c>
      <c r="N30" s="8"/>
      <c r="O30" s="17">
        <f t="shared" si="2"/>
        <v>-3852001.21</v>
      </c>
    </row>
    <row r="31" spans="1:15" x14ac:dyDescent="0.2">
      <c r="A31" s="2" t="s">
        <v>53</v>
      </c>
      <c r="B31" s="2" t="s">
        <v>54</v>
      </c>
      <c r="C31" s="11">
        <v>-23338.65</v>
      </c>
      <c r="D31" s="9"/>
      <c r="E31" s="12">
        <v>-22275.77</v>
      </c>
      <c r="F31" s="9"/>
      <c r="G31" s="12">
        <v>0</v>
      </c>
      <c r="H31" s="9"/>
      <c r="I31" s="12">
        <v>0</v>
      </c>
      <c r="J31" s="9"/>
      <c r="K31" s="12">
        <v>0</v>
      </c>
      <c r="L31" s="9"/>
      <c r="M31" s="12">
        <v>0</v>
      </c>
      <c r="N31" s="8"/>
      <c r="O31" s="11">
        <f t="shared" si="2"/>
        <v>-45614.42</v>
      </c>
    </row>
    <row r="32" spans="1:15" x14ac:dyDescent="0.2">
      <c r="B32" s="18"/>
      <c r="C32" s="9">
        <f>SUM(C22:C31)</f>
        <v>-20238408.550000001</v>
      </c>
      <c r="D32" s="9"/>
      <c r="E32" s="9">
        <f>SUM(E22:E31)</f>
        <v>-7307328.8200000003</v>
      </c>
      <c r="F32" s="9"/>
      <c r="G32" s="9">
        <f>SUM(G22:G31)</f>
        <v>1356120.9899999995</v>
      </c>
      <c r="H32" s="9"/>
      <c r="I32" s="9">
        <f>SUM(I22:I31)</f>
        <v>3114.0599999999995</v>
      </c>
      <c r="J32" s="9"/>
      <c r="K32" s="9">
        <f>SUM(K22:K31)</f>
        <v>0</v>
      </c>
      <c r="L32" s="9"/>
      <c r="M32" s="9">
        <f>SUM(M22:M31)</f>
        <v>0</v>
      </c>
      <c r="N32" s="8"/>
      <c r="O32" s="9">
        <f>SUM(O22:O31)</f>
        <v>-26186502.320000004</v>
      </c>
    </row>
    <row r="34" spans="1:15" x14ac:dyDescent="0.2">
      <c r="A34" s="2" t="s">
        <v>55</v>
      </c>
      <c r="B34" s="18"/>
      <c r="C34" s="8">
        <f>C32+C18</f>
        <v>50760160.059999987</v>
      </c>
      <c r="E34" s="8"/>
      <c r="G34" s="8">
        <f>G32+G18</f>
        <v>-805280.23000000068</v>
      </c>
      <c r="I34" s="8">
        <f>I32+I18</f>
        <v>333535.56000000093</v>
      </c>
      <c r="K34" s="8">
        <f>K32+K18</f>
        <v>0</v>
      </c>
      <c r="M34" s="8">
        <f>M32+M18</f>
        <v>0</v>
      </c>
      <c r="O34" s="8">
        <f>O32+O18</f>
        <v>49951249.949999973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PPE Rollforward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Dickinson-Cove</dc:creator>
  <cp:lastModifiedBy>Travis Pickens</cp:lastModifiedBy>
  <dcterms:created xsi:type="dcterms:W3CDTF">2026-01-24T01:15:23Z</dcterms:created>
  <dcterms:modified xsi:type="dcterms:W3CDTF">2026-01-28T22:02:55Z</dcterms:modified>
</cp:coreProperties>
</file>