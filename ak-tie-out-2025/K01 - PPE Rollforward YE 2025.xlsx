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GL Recon &amp; Admin\Audit Workpapers\2025 Audit Workpapers\Year-end Requests\K - PPE\K01 - PPE Rollforward\"/>
    </mc:Choice>
  </mc:AlternateContent>
  <xr:revisionPtr revIDLastSave="0" documentId="13_ncr:1_{2DE4CCA7-3B88-44BB-9CAC-83E322E8D1D0}" xr6:coauthVersionLast="47" xr6:coauthVersionMax="47" xr10:uidLastSave="{00000000-0000-0000-0000-000000000000}"/>
  <bookViews>
    <workbookView xWindow="-120" yWindow="-120" windowWidth="29040" windowHeight="15720" xr2:uid="{46811198-1A6F-4737-8B9E-24DCD3B4A97F}"/>
  </bookViews>
  <sheets>
    <sheet name="1. PPE Rollforward Template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1" l="1"/>
  <c r="T32" i="1"/>
  <c r="U32" i="1"/>
  <c r="V32" i="1"/>
  <c r="W32" i="1"/>
  <c r="X32" i="1"/>
  <c r="Y31" i="1"/>
  <c r="Y30" i="1"/>
  <c r="Y29" i="1"/>
  <c r="Y28" i="1"/>
  <c r="Y27" i="1"/>
  <c r="Y26" i="1"/>
  <c r="Y25" i="1"/>
  <c r="Y24" i="1"/>
  <c r="Y23" i="1"/>
  <c r="Y22" i="1"/>
  <c r="Y32" i="1" s="1"/>
  <c r="Y15" i="1"/>
  <c r="Y14" i="1"/>
  <c r="Y13" i="1"/>
  <c r="Y12" i="1"/>
  <c r="Y11" i="1"/>
  <c r="Y10" i="1"/>
  <c r="Y9" i="1"/>
  <c r="Y8" i="1"/>
  <c r="Y7" i="1"/>
  <c r="Y6" i="1"/>
  <c r="Y5" i="1"/>
  <c r="T16" i="1"/>
  <c r="U16" i="1"/>
  <c r="V16" i="1"/>
  <c r="T10" i="1"/>
  <c r="W10" i="1" s="1"/>
  <c r="S16" i="1"/>
  <c r="W6" i="1"/>
  <c r="W7" i="1"/>
  <c r="W8" i="1"/>
  <c r="W9" i="1"/>
  <c r="W11" i="1"/>
  <c r="W12" i="1"/>
  <c r="W13" i="1"/>
  <c r="W14" i="1"/>
  <c r="W15" i="1"/>
  <c r="W5" i="1"/>
  <c r="P23" i="1"/>
  <c r="P24" i="1"/>
  <c r="P25" i="1"/>
  <c r="P26" i="1"/>
  <c r="P27" i="1"/>
  <c r="P28" i="1"/>
  <c r="P29" i="1"/>
  <c r="P30" i="1"/>
  <c r="P31" i="1"/>
  <c r="P22" i="1"/>
  <c r="P32" i="1" s="1"/>
  <c r="P5" i="1"/>
  <c r="G17" i="1"/>
  <c r="P17" i="1" a="1"/>
  <c r="P17" i="1" s="1"/>
  <c r="P6" i="1"/>
  <c r="P7" i="1"/>
  <c r="P8" i="1"/>
  <c r="P9" i="1"/>
  <c r="P10" i="1"/>
  <c r="P11" i="1"/>
  <c r="P12" i="1"/>
  <c r="P13" i="1"/>
  <c r="P14" i="1"/>
  <c r="P15" i="1"/>
  <c r="G26" i="1"/>
  <c r="G10" i="1"/>
  <c r="Z30" i="1" l="1"/>
  <c r="Z5" i="1"/>
  <c r="Z6" i="1"/>
  <c r="X6" i="1"/>
  <c r="Z15" i="1"/>
  <c r="X15" i="1"/>
  <c r="W16" i="1"/>
  <c r="X8" i="1"/>
  <c r="Z24" i="1"/>
  <c r="X7" i="1"/>
  <c r="Y16" i="1"/>
  <c r="P16" i="1"/>
  <c r="M32" i="1"/>
  <c r="K32" i="1"/>
  <c r="I32" i="1"/>
  <c r="G32" i="1"/>
  <c r="E32" i="1"/>
  <c r="C32" i="1"/>
  <c r="O31" i="1"/>
  <c r="O30" i="1"/>
  <c r="Q30" i="1" s="1"/>
  <c r="O29" i="1"/>
  <c r="Q29" i="1" s="1"/>
  <c r="O28" i="1"/>
  <c r="Q28" i="1" s="1"/>
  <c r="O27" i="1"/>
  <c r="Q27" i="1" s="1"/>
  <c r="O26" i="1"/>
  <c r="Q26" i="1" s="1"/>
  <c r="O25" i="1"/>
  <c r="Q25" i="1" s="1"/>
  <c r="O24" i="1"/>
  <c r="Q24" i="1" s="1"/>
  <c r="O23" i="1"/>
  <c r="Q23" i="1" s="1"/>
  <c r="O22" i="1"/>
  <c r="O17" i="1"/>
  <c r="Q17" i="1" s="1"/>
  <c r="M16" i="1"/>
  <c r="M18" i="1" s="1"/>
  <c r="K16" i="1"/>
  <c r="K18" i="1" s="1"/>
  <c r="I16" i="1"/>
  <c r="I18" i="1" s="1"/>
  <c r="G16" i="1"/>
  <c r="G18" i="1" s="1"/>
  <c r="E16" i="1"/>
  <c r="E18" i="1" s="1"/>
  <c r="C16" i="1"/>
  <c r="C18" i="1" s="1"/>
  <c r="O15" i="1"/>
  <c r="Q15" i="1" s="1"/>
  <c r="O14" i="1"/>
  <c r="Q14" i="1" s="1"/>
  <c r="O13" i="1"/>
  <c r="Q13" i="1" s="1"/>
  <c r="O12" i="1"/>
  <c r="Q12" i="1" s="1"/>
  <c r="O11" i="1"/>
  <c r="Q11" i="1" s="1"/>
  <c r="O10" i="1"/>
  <c r="Q10" i="1" s="1"/>
  <c r="O9" i="1"/>
  <c r="O8" i="1"/>
  <c r="Q8" i="1" s="1"/>
  <c r="O7" i="1"/>
  <c r="O6" i="1"/>
  <c r="Q6" i="1" s="1"/>
  <c r="O5" i="1"/>
  <c r="Q5" i="1" s="1"/>
  <c r="X11" i="1" l="1"/>
  <c r="Z23" i="1"/>
  <c r="X12" i="1"/>
  <c r="X5" i="1"/>
  <c r="Z13" i="1"/>
  <c r="Z8" i="1"/>
  <c r="Z11" i="1"/>
  <c r="Q7" i="1"/>
  <c r="Z7" i="1"/>
  <c r="Z16" i="1" s="1"/>
  <c r="Z27" i="1"/>
  <c r="Z28" i="1"/>
  <c r="Z12" i="1"/>
  <c r="Z10" i="1"/>
  <c r="Q31" i="1"/>
  <c r="Z31" i="1"/>
  <c r="Z26" i="1"/>
  <c r="X14" i="1"/>
  <c r="Z25" i="1"/>
  <c r="Q22" i="1"/>
  <c r="Z22" i="1"/>
  <c r="X13" i="1"/>
  <c r="Q9" i="1"/>
  <c r="Z9" i="1"/>
  <c r="X9" i="1"/>
  <c r="Z14" i="1"/>
  <c r="X10" i="1"/>
  <c r="Z29" i="1"/>
  <c r="K34" i="1"/>
  <c r="I34" i="1"/>
  <c r="G34" i="1"/>
  <c r="O32" i="1"/>
  <c r="Q32" i="1" s="1"/>
  <c r="O16" i="1"/>
  <c r="C34" i="1"/>
  <c r="M34" i="1"/>
  <c r="Z32" i="1" l="1"/>
  <c r="X16" i="1"/>
  <c r="O18" i="1"/>
  <c r="O34" i="1" s="1"/>
  <c r="Q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<sst xmlns="http://schemas.openxmlformats.org/spreadsheetml/2006/main" count="84" uniqueCount="63">
  <si>
    <t>CityServiceValcon, LLC</t>
  </si>
  <si>
    <t>Fixed Asset Rollforward</t>
  </si>
  <si>
    <t>1/1/2025 - 12/31/2025</t>
  </si>
  <si>
    <t>Fixed Asset Classes</t>
  </si>
  <si>
    <t>GL Account</t>
  </si>
  <si>
    <t>Additions</t>
  </si>
  <si>
    <t>Disposals</t>
  </si>
  <si>
    <t>Transfers</t>
  </si>
  <si>
    <t>Other Adjustments</t>
  </si>
  <si>
    <t>Effect of FX</t>
  </si>
  <si>
    <t>12/31/25
Ending Balance</t>
  </si>
  <si>
    <t>Land</t>
  </si>
  <si>
    <t>15020-00000-00</t>
  </si>
  <si>
    <t>Land Improvments</t>
  </si>
  <si>
    <t>15030-00000-00</t>
  </si>
  <si>
    <t>Buildings</t>
  </si>
  <si>
    <t>15040-00000-00</t>
  </si>
  <si>
    <t>Leasehold Improvements</t>
  </si>
  <si>
    <t>15050-00000-00</t>
  </si>
  <si>
    <t>Office Equipment</t>
  </si>
  <si>
    <t>15060-00000-00</t>
  </si>
  <si>
    <t>Vehicles</t>
  </si>
  <si>
    <t>15070-00000-00</t>
  </si>
  <si>
    <t>Equipment</t>
  </si>
  <si>
    <t>15080-00000-00</t>
  </si>
  <si>
    <t>Cardlock Equipment</t>
  </si>
  <si>
    <t>15090-00000-00</t>
  </si>
  <si>
    <t>Customer Loaned Equipment</t>
  </si>
  <si>
    <t>15110-00000-00</t>
  </si>
  <si>
    <t>Propane Tanks</t>
  </si>
  <si>
    <t>15130-00000-00</t>
  </si>
  <si>
    <t>Fuel Tanks</t>
  </si>
  <si>
    <t>15140-00000-00</t>
  </si>
  <si>
    <t>CIP</t>
  </si>
  <si>
    <t>Depr Exp</t>
  </si>
  <si>
    <t>A/D - Land Improvements</t>
  </si>
  <si>
    <t>16030-00000-00</t>
  </si>
  <si>
    <t xml:space="preserve">A/D - Buildings </t>
  </si>
  <si>
    <t>16040-00000-00</t>
  </si>
  <si>
    <t>A/D - Leasehold Improvements</t>
  </si>
  <si>
    <t>16050-00000-00</t>
  </si>
  <si>
    <t>A/D - Office Equipment</t>
  </si>
  <si>
    <t>16060-00000-00</t>
  </si>
  <si>
    <t>A/D - Vehicles</t>
  </si>
  <si>
    <t>16070-00000-00</t>
  </si>
  <si>
    <t>A/D - Equipment</t>
  </si>
  <si>
    <t>16080-00000-00</t>
  </si>
  <si>
    <t>A/D - Cardlock Equipment</t>
  </si>
  <si>
    <t>16090-00000-00</t>
  </si>
  <si>
    <t>A/D - Customer Loaned Equipment</t>
  </si>
  <si>
    <t>16110-00000-00</t>
  </si>
  <si>
    <t>A/D - Propane Tanks</t>
  </si>
  <si>
    <t>16130-00000-00</t>
  </si>
  <si>
    <t>A/D - Fuel Tanks</t>
  </si>
  <si>
    <t>16140-00000-00</t>
  </si>
  <si>
    <t>Net Book Value</t>
  </si>
  <si>
    <t>1/1/2025
 Beginning Balance</t>
  </si>
  <si>
    <t>check</t>
  </si>
  <si>
    <t>diff</t>
  </si>
  <si>
    <t>End</t>
  </si>
  <si>
    <t>End Per AK</t>
  </si>
  <si>
    <t>Sum Add + Dis</t>
  </si>
  <si>
    <t>Asset Keeper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</si>
</sst>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00FF"/>
      <name val="Arial"/>
      <family val="2"/>
    </font>
    <font>
      <sz val="10"/>
      <color theme="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39" fontId="2" fillId="2" borderId="1" xfId="2" applyNumberFormat="1" applyFont="1" applyFill="1" applyBorder="1" applyAlignment="1" applyProtection="1">
      <alignment horizontal="center" vertical="center"/>
      <protection locked="0"/>
    </xf>
    <xf numFmtId="39" fontId="2" fillId="2" borderId="2" xfId="2" applyNumberFormat="1" applyFont="1" applyFill="1" applyBorder="1" applyAlignment="1" applyProtection="1">
      <alignment horizontal="center" vertical="center"/>
      <protection locked="0"/>
    </xf>
    <xf numFmtId="39" fontId="2" fillId="2" borderId="2" xfId="2" applyNumberFormat="1" applyFont="1" applyFill="1" applyBorder="1" applyAlignment="1" applyProtection="1">
      <alignment horizontal="center" vertical="center" wrapText="1"/>
      <protection locked="0"/>
    </xf>
    <xf numFmtId="39" fontId="2" fillId="2" borderId="3" xfId="2" applyNumberFormat="1" applyFont="1" applyFill="1" applyBorder="1" applyAlignment="1" applyProtection="1">
      <alignment horizontal="center" vertical="center" wrapText="1"/>
      <protection locked="0"/>
    </xf>
    <xf numFmtId="164" fontId="3" fillId="0" borderId="0" xfId="1" applyNumberFormat="1" applyFont="1"/>
    <xf numFmtId="164" fontId="3" fillId="0" borderId="0" xfId="1" applyNumberFormat="1" applyFont="1" applyFill="1"/>
    <xf numFmtId="164" fontId="3" fillId="0" borderId="0" xfId="0" applyNumberFormat="1" applyFont="1"/>
    <xf numFmtId="164" fontId="3" fillId="0" borderId="4" xfId="1" applyNumberFormat="1" applyFont="1" applyBorder="1"/>
    <xf numFmtId="164" fontId="3" fillId="0" borderId="4" xfId="1" applyNumberFormat="1" applyFont="1" applyFill="1" applyBorder="1"/>
    <xf numFmtId="43" fontId="4" fillId="0" borderId="0" xfId="1" applyFont="1" applyFill="1" applyAlignment="1">
      <alignment horizontal="right"/>
    </xf>
    <xf numFmtId="43" fontId="3" fillId="0" borderId="0" xfId="1" applyFont="1" applyFill="1"/>
    <xf numFmtId="164" fontId="3" fillId="0" borderId="5" xfId="1" applyNumberFormat="1" applyFont="1" applyFill="1" applyBorder="1"/>
    <xf numFmtId="164" fontId="3" fillId="0" borderId="5" xfId="1" applyNumberFormat="1" applyFont="1" applyBorder="1"/>
    <xf numFmtId="164" fontId="3" fillId="0" borderId="0" xfId="1" applyNumberFormat="1" applyFont="1" applyBorder="1"/>
    <xf numFmtId="0" fontId="4" fillId="0" borderId="0" xfId="0" applyFont="1" applyAlignment="1">
      <alignment horizontal="right"/>
    </xf>
    <xf numFmtId="43" fontId="3" fillId="0" borderId="0" xfId="1" applyFont="1"/>
    <xf numFmtId="43" fontId="3" fillId="0" borderId="6" xfId="1" applyFont="1" applyBorder="1"/>
    <xf numFmtId="43" fontId="3" fillId="0" borderId="4" xfId="1" applyFont="1" applyBorder="1"/>
    <xf numFmtId="43" fontId="3" fillId="3" borderId="0" xfId="1" applyFont="1" applyFill="1"/>
    <xf numFmtId="43" fontId="3" fillId="4" borderId="0" xfId="1" applyFont="1" applyFill="1"/>
    <xf numFmtId="43" fontId="2" fillId="0" borderId="0" xfId="1" applyFont="1"/>
    <xf numFmtId="43" fontId="3" fillId="5" borderId="0" xfId="1" applyFont="1" applyFill="1"/>
    <xf numFmtId="0" fontId="3" fillId="5" borderId="0" xfId="0" applyFont="1" applyFill="1"/>
    <xf numFmtId="43" fontId="3" fillId="5" borderId="0" xfId="0" applyNumberFormat="1" applyFont="1" applyFill="1"/>
    <xf numFmtId="0" fontId="3" fillId="0" borderId="0" xfId="0" applyFont="1" applyFill="1"/>
    <xf numFmtId="43" fontId="3" fillId="0" borderId="0" xfId="0" applyNumberFormat="1" applyFont="1" applyFill="1"/>
  </cellXfs>
  <cellStyles count="3">
    <cellStyle name="Comma" xfId="1" builtinId="3"/>
    <cellStyle name="Normal" xfId="0" builtinId="0"/>
    <cellStyle name="Normal 55" xfId="2" xr:uid="{BFC16C7A-913C-4982-9ADE-45F4F1FFB1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GL%20Recon%20&amp;%20Admin\Audit%20Workpapers\2025%20Audit%20Workpapers\Year-end%20Requests\K%20-%20PPE\K01%20-%20PPE%20Rollforward\Support\GL_TrialBalanceDetail-2025-FINAL_2026-01-28.xlsx" TargetMode="External"/><Relationship Id="rId1" Type="http://schemas.openxmlformats.org/officeDocument/2006/relationships/externalLinkPath" Target="Support/GL_TrialBalanceDetail-2025-FINAL_2026-01-2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GL%20Recon%20&amp;%20Admin\Audit%20Workpapers\2025%20Audit%20Workpapers\Year-end%20Requests\K%20-%20PPE\K01%20-%20PPE%20Rollforward\K01%20-%20Asset%20Schedule%20-%20CityServiceValcon_Monthly_Abbreviated_Report_20260128_100824.xlsx" TargetMode="External"/><Relationship Id="rId1" Type="http://schemas.openxmlformats.org/officeDocument/2006/relationships/externalLinkPath" Target="K01%20-%20Asset%20Schedule%20-%20CityServiceValcon_Monthly_Abbreviated_Report_20260128_1008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CityServiceValcon, LLC (CSV)</v>
          </cell>
        </row>
        <row r="2">
          <cell r="A2" t="str">
            <v>GL Trial Balance</v>
          </cell>
        </row>
        <row r="3">
          <cell r="A3" t="str">
            <v>Trial Balance Period: 12/31/25   |   Run Date: 01/28/2026</v>
          </cell>
        </row>
        <row r="8">
          <cell r="A8" t="str">
            <v>Account Number</v>
          </cell>
          <cell r="F8" t="str">
            <v>Ending Balance</v>
          </cell>
        </row>
        <row r="9">
          <cell r="A9" t="str">
            <v>Current Assets</v>
          </cell>
        </row>
        <row r="10">
          <cell r="A10" t="str">
            <v>00000-00000-00</v>
          </cell>
          <cell r="F10">
            <v>0</v>
          </cell>
        </row>
        <row r="11">
          <cell r="A11" t="str">
            <v>10000-00000-00</v>
          </cell>
          <cell r="F11">
            <v>0</v>
          </cell>
        </row>
        <row r="12">
          <cell r="A12" t="str">
            <v>10000-00000-01</v>
          </cell>
          <cell r="F12">
            <v>700</v>
          </cell>
        </row>
        <row r="13">
          <cell r="A13" t="str">
            <v>10000-00000-02</v>
          </cell>
          <cell r="F13">
            <v>150</v>
          </cell>
        </row>
        <row r="14">
          <cell r="A14" t="str">
            <v>10000-00000-03</v>
          </cell>
          <cell r="F14">
            <v>280</v>
          </cell>
        </row>
        <row r="15">
          <cell r="A15" t="str">
            <v>10000-00000-04</v>
          </cell>
          <cell r="F15">
            <v>150</v>
          </cell>
        </row>
        <row r="16">
          <cell r="A16" t="str">
            <v>10000-00000-05</v>
          </cell>
          <cell r="F16">
            <v>0</v>
          </cell>
        </row>
        <row r="17">
          <cell r="A17" t="str">
            <v>10000-00000-06</v>
          </cell>
          <cell r="F17">
            <v>8277.49</v>
          </cell>
        </row>
        <row r="18">
          <cell r="A18" t="str">
            <v>10000-00000-07</v>
          </cell>
          <cell r="F18">
            <v>0</v>
          </cell>
        </row>
        <row r="19">
          <cell r="A19" t="str">
            <v>10000-00000-08</v>
          </cell>
          <cell r="F19">
            <v>0</v>
          </cell>
        </row>
        <row r="20">
          <cell r="A20" t="str">
            <v>10000-00000-09</v>
          </cell>
          <cell r="F20">
            <v>0</v>
          </cell>
        </row>
        <row r="21">
          <cell r="A21" t="str">
            <v>10000-00000-10</v>
          </cell>
          <cell r="F21">
            <v>0</v>
          </cell>
        </row>
        <row r="22">
          <cell r="A22" t="str">
            <v>10000-00000-11</v>
          </cell>
          <cell r="F22">
            <v>0</v>
          </cell>
        </row>
        <row r="23">
          <cell r="A23" t="str">
            <v>10000-00000-12</v>
          </cell>
          <cell r="F23">
            <v>0</v>
          </cell>
        </row>
        <row r="24">
          <cell r="A24" t="str">
            <v>10000-00000-13</v>
          </cell>
          <cell r="F24">
            <v>0</v>
          </cell>
        </row>
        <row r="25">
          <cell r="A25" t="str">
            <v>10000-00000-14</v>
          </cell>
          <cell r="F25">
            <v>0</v>
          </cell>
        </row>
        <row r="26">
          <cell r="A26" t="str">
            <v>10000-00000-15</v>
          </cell>
          <cell r="F26">
            <v>53073.14</v>
          </cell>
        </row>
        <row r="27">
          <cell r="A27" t="str">
            <v>10000-00000-16</v>
          </cell>
          <cell r="F27">
            <v>0</v>
          </cell>
        </row>
        <row r="28">
          <cell r="A28" t="str">
            <v>10000-00000-17</v>
          </cell>
          <cell r="F28">
            <v>0</v>
          </cell>
        </row>
        <row r="29">
          <cell r="A29" t="str">
            <v>10000-00000-18</v>
          </cell>
          <cell r="F29">
            <v>0</v>
          </cell>
        </row>
        <row r="30">
          <cell r="A30" t="str">
            <v>10000-00000-19</v>
          </cell>
          <cell r="F30">
            <v>0</v>
          </cell>
        </row>
        <row r="31">
          <cell r="A31" t="str">
            <v>10000-00000-20</v>
          </cell>
          <cell r="F31">
            <v>0</v>
          </cell>
        </row>
        <row r="32">
          <cell r="A32" t="str">
            <v>10000-00000-21</v>
          </cell>
          <cell r="F32">
            <v>0</v>
          </cell>
        </row>
        <row r="33">
          <cell r="A33" t="str">
            <v>10000-00000-22</v>
          </cell>
          <cell r="F33">
            <v>72</v>
          </cell>
        </row>
        <row r="34">
          <cell r="A34" t="str">
            <v>10000-00000-23</v>
          </cell>
          <cell r="F34">
            <v>0</v>
          </cell>
        </row>
        <row r="35">
          <cell r="A35" t="str">
            <v>10000-00000-24</v>
          </cell>
          <cell r="F35">
            <v>250</v>
          </cell>
        </row>
        <row r="36">
          <cell r="A36" t="str">
            <v>10000-00000-25</v>
          </cell>
          <cell r="F36">
            <v>0</v>
          </cell>
        </row>
        <row r="37">
          <cell r="A37" t="str">
            <v>10000-00000-26</v>
          </cell>
          <cell r="F37">
            <v>0</v>
          </cell>
        </row>
        <row r="38">
          <cell r="A38" t="str">
            <v>10000-00000-27</v>
          </cell>
          <cell r="F38">
            <v>300</v>
          </cell>
        </row>
        <row r="39">
          <cell r="A39" t="str">
            <v>10000-00000-28</v>
          </cell>
          <cell r="F39">
            <v>0</v>
          </cell>
        </row>
        <row r="40">
          <cell r="A40" t="str">
            <v>10000-00000-29</v>
          </cell>
          <cell r="F40">
            <v>0</v>
          </cell>
        </row>
        <row r="41">
          <cell r="A41" t="str">
            <v>10000-00000-30</v>
          </cell>
          <cell r="F41">
            <v>1983.92</v>
          </cell>
        </row>
        <row r="42">
          <cell r="A42" t="str">
            <v>10000-00000-31</v>
          </cell>
          <cell r="F42">
            <v>0</v>
          </cell>
        </row>
        <row r="43">
          <cell r="A43" t="str">
            <v>10000-00000-32</v>
          </cell>
          <cell r="F43">
            <v>0</v>
          </cell>
        </row>
        <row r="44">
          <cell r="A44" t="str">
            <v>10000-00000-33</v>
          </cell>
          <cell r="F44">
            <v>0</v>
          </cell>
        </row>
        <row r="45">
          <cell r="A45" t="str">
            <v>10000-00000-34</v>
          </cell>
          <cell r="F45">
            <v>0</v>
          </cell>
        </row>
        <row r="46">
          <cell r="A46" t="str">
            <v>10000-00000-35</v>
          </cell>
          <cell r="F46">
            <v>0</v>
          </cell>
        </row>
        <row r="47">
          <cell r="A47" t="str">
            <v>10000-00000-36</v>
          </cell>
          <cell r="F47">
            <v>0</v>
          </cell>
        </row>
        <row r="48">
          <cell r="A48" t="str">
            <v>10000-00000-37</v>
          </cell>
          <cell r="F48">
            <v>0</v>
          </cell>
        </row>
        <row r="49">
          <cell r="A49" t="str">
            <v>10000-00000-38</v>
          </cell>
          <cell r="F49">
            <v>0</v>
          </cell>
        </row>
        <row r="50">
          <cell r="A50" t="str">
            <v>10000-00000-39</v>
          </cell>
          <cell r="F50">
            <v>6621.52</v>
          </cell>
        </row>
        <row r="51">
          <cell r="A51" t="str">
            <v>10000-00000-40</v>
          </cell>
          <cell r="F51">
            <v>0</v>
          </cell>
        </row>
        <row r="52">
          <cell r="A52" t="str">
            <v>10000-00000-41</v>
          </cell>
          <cell r="F52">
            <v>200</v>
          </cell>
        </row>
        <row r="53">
          <cell r="A53" t="str">
            <v>10000-00000-42</v>
          </cell>
          <cell r="F53">
            <v>150</v>
          </cell>
        </row>
        <row r="54">
          <cell r="A54" t="str">
            <v>10400-00000-00</v>
          </cell>
          <cell r="F54">
            <v>0</v>
          </cell>
        </row>
        <row r="55">
          <cell r="A55" t="str">
            <v>10400-00000-01</v>
          </cell>
          <cell r="F55">
            <v>0</v>
          </cell>
        </row>
        <row r="56">
          <cell r="A56" t="str">
            <v>10400-00000-02</v>
          </cell>
          <cell r="F56">
            <v>0</v>
          </cell>
        </row>
        <row r="57">
          <cell r="A57" t="str">
            <v>10400-00000-03</v>
          </cell>
          <cell r="F57">
            <v>265230.19</v>
          </cell>
        </row>
        <row r="58">
          <cell r="A58" t="str">
            <v>10400-00000-04</v>
          </cell>
          <cell r="F58">
            <v>0</v>
          </cell>
        </row>
        <row r="59">
          <cell r="A59" t="str">
            <v>10400-00000-05</v>
          </cell>
          <cell r="F59">
            <v>0</v>
          </cell>
        </row>
        <row r="60">
          <cell r="A60" t="str">
            <v>10400-00000-06</v>
          </cell>
          <cell r="F60">
            <v>0</v>
          </cell>
        </row>
        <row r="61">
          <cell r="A61" t="str">
            <v>10400-00000-07</v>
          </cell>
          <cell r="F61">
            <v>0</v>
          </cell>
        </row>
        <row r="62">
          <cell r="A62" t="str">
            <v>10400-00000-08</v>
          </cell>
          <cell r="F62">
            <v>0</v>
          </cell>
        </row>
        <row r="63">
          <cell r="A63" t="str">
            <v>10400-00000-09</v>
          </cell>
          <cell r="F63">
            <v>0</v>
          </cell>
        </row>
        <row r="64">
          <cell r="A64" t="str">
            <v>11000-00000-00</v>
          </cell>
          <cell r="F64">
            <v>21471821.100000001</v>
          </cell>
        </row>
        <row r="65">
          <cell r="A65" t="str">
            <v>11000-00000-01</v>
          </cell>
          <cell r="F65">
            <v>0</v>
          </cell>
        </row>
        <row r="66">
          <cell r="A66" t="str">
            <v>11500-00000-00</v>
          </cell>
          <cell r="F66">
            <v>-317925.74</v>
          </cell>
        </row>
        <row r="67">
          <cell r="A67" t="str">
            <v>12000-00000-00</v>
          </cell>
          <cell r="F67">
            <v>0</v>
          </cell>
        </row>
        <row r="68">
          <cell r="A68" t="str">
            <v>12000-00000-01</v>
          </cell>
          <cell r="F68">
            <v>0</v>
          </cell>
        </row>
        <row r="69">
          <cell r="A69" t="str">
            <v>12000-00000-02</v>
          </cell>
          <cell r="F69">
            <v>0</v>
          </cell>
        </row>
        <row r="70">
          <cell r="A70" t="str">
            <v>12000-00000-03</v>
          </cell>
          <cell r="F70">
            <v>45812.800000000003</v>
          </cell>
        </row>
        <row r="71">
          <cell r="A71" t="str">
            <v>12000-00000-04</v>
          </cell>
          <cell r="F71">
            <v>0</v>
          </cell>
        </row>
        <row r="72">
          <cell r="A72" t="str">
            <v>12000-00000-05</v>
          </cell>
          <cell r="F72">
            <v>84205.39</v>
          </cell>
        </row>
        <row r="73">
          <cell r="A73" t="str">
            <v>12000-00000-06</v>
          </cell>
          <cell r="F73">
            <v>43118.53</v>
          </cell>
        </row>
        <row r="74">
          <cell r="A74" t="str">
            <v>12000-00000-07</v>
          </cell>
          <cell r="F74">
            <v>0</v>
          </cell>
        </row>
        <row r="75">
          <cell r="A75" t="str">
            <v>12000-00000-08</v>
          </cell>
          <cell r="F75">
            <v>0</v>
          </cell>
        </row>
        <row r="76">
          <cell r="A76" t="str">
            <v>12000-00000-09</v>
          </cell>
          <cell r="F76">
            <v>28466.63</v>
          </cell>
        </row>
        <row r="77">
          <cell r="A77" t="str">
            <v>12000-00000-10</v>
          </cell>
          <cell r="F77">
            <v>0</v>
          </cell>
        </row>
        <row r="78">
          <cell r="A78" t="str">
            <v>12000-00000-11</v>
          </cell>
          <cell r="F78">
            <v>11786.53</v>
          </cell>
        </row>
        <row r="79">
          <cell r="A79" t="str">
            <v>12000-00000-12</v>
          </cell>
          <cell r="F79">
            <v>0</v>
          </cell>
        </row>
        <row r="80">
          <cell r="A80" t="str">
            <v>12000-00000-13</v>
          </cell>
          <cell r="F80">
            <v>10625</v>
          </cell>
        </row>
        <row r="81">
          <cell r="A81" t="str">
            <v>12000-00000-14</v>
          </cell>
          <cell r="F81">
            <v>0</v>
          </cell>
        </row>
        <row r="82">
          <cell r="A82" t="str">
            <v>12000-00000-15</v>
          </cell>
          <cell r="F82">
            <v>209280.56</v>
          </cell>
        </row>
        <row r="83">
          <cell r="A83" t="str">
            <v>12000-00000-16</v>
          </cell>
          <cell r="F83">
            <v>11944.45</v>
          </cell>
        </row>
        <row r="84">
          <cell r="A84" t="str">
            <v>12000-00000-17</v>
          </cell>
          <cell r="F84">
            <v>0</v>
          </cell>
        </row>
        <row r="85">
          <cell r="A85" t="str">
            <v>12000-00000-18</v>
          </cell>
          <cell r="F85">
            <v>0</v>
          </cell>
        </row>
        <row r="86">
          <cell r="A86" t="str">
            <v>12000-00000-19</v>
          </cell>
          <cell r="F86">
            <v>8000.08</v>
          </cell>
        </row>
        <row r="87">
          <cell r="A87" t="str">
            <v>12000-00000-20</v>
          </cell>
          <cell r="F87">
            <v>8955</v>
          </cell>
        </row>
        <row r="88">
          <cell r="A88" t="str">
            <v>12000-00000-21</v>
          </cell>
          <cell r="F88">
            <v>29730.04</v>
          </cell>
        </row>
        <row r="89">
          <cell r="A89" t="str">
            <v>12000-00000-22</v>
          </cell>
          <cell r="F89">
            <v>10627.82</v>
          </cell>
        </row>
        <row r="90">
          <cell r="A90" t="str">
            <v>12000-00000-23</v>
          </cell>
          <cell r="F90">
            <v>0</v>
          </cell>
        </row>
        <row r="91">
          <cell r="A91" t="str">
            <v>12000-00000-24</v>
          </cell>
          <cell r="F91">
            <v>16666.7</v>
          </cell>
        </row>
        <row r="92">
          <cell r="A92" t="str">
            <v>12000-00000-25</v>
          </cell>
          <cell r="F92">
            <v>0</v>
          </cell>
        </row>
        <row r="93">
          <cell r="A93" t="str">
            <v>12001-00000-00</v>
          </cell>
          <cell r="F93">
            <v>0</v>
          </cell>
        </row>
        <row r="94">
          <cell r="A94" t="str">
            <v>12001-00000-01</v>
          </cell>
          <cell r="F94">
            <v>0</v>
          </cell>
        </row>
        <row r="95">
          <cell r="A95" t="str">
            <v>12001-00000-02</v>
          </cell>
          <cell r="F95">
            <v>0</v>
          </cell>
        </row>
        <row r="96">
          <cell r="A96" t="str">
            <v>12001-00000-03</v>
          </cell>
          <cell r="F96">
            <v>0</v>
          </cell>
        </row>
        <row r="97">
          <cell r="A97" t="str">
            <v>12001-00000-04</v>
          </cell>
          <cell r="F97">
            <v>663825.9</v>
          </cell>
        </row>
        <row r="98">
          <cell r="A98" t="str">
            <v>12001-00000-05</v>
          </cell>
          <cell r="F98">
            <v>0</v>
          </cell>
        </row>
        <row r="99">
          <cell r="A99" t="str">
            <v>12001-00000-06</v>
          </cell>
          <cell r="F99">
            <v>0</v>
          </cell>
        </row>
        <row r="100">
          <cell r="A100" t="str">
            <v>12001-00000-07</v>
          </cell>
          <cell r="F100">
            <v>0</v>
          </cell>
        </row>
        <row r="101">
          <cell r="A101" t="str">
            <v>12001-00000-08</v>
          </cell>
          <cell r="F101">
            <v>42422.3</v>
          </cell>
        </row>
        <row r="102">
          <cell r="A102" t="str">
            <v>12001-00000-09</v>
          </cell>
          <cell r="F102">
            <v>0</v>
          </cell>
        </row>
        <row r="103">
          <cell r="A103" t="str">
            <v>12001-00000-10</v>
          </cell>
          <cell r="F103">
            <v>0</v>
          </cell>
        </row>
        <row r="104">
          <cell r="A104" t="str">
            <v>12001-00000-11</v>
          </cell>
          <cell r="F104">
            <v>17346.89</v>
          </cell>
        </row>
        <row r="105">
          <cell r="A105" t="str">
            <v>12001-00000-12</v>
          </cell>
          <cell r="F105">
            <v>0</v>
          </cell>
        </row>
        <row r="106">
          <cell r="A106" t="str">
            <v>12001-00000-13</v>
          </cell>
          <cell r="F106">
            <v>535019.31000000006</v>
          </cell>
        </row>
        <row r="107">
          <cell r="A107" t="str">
            <v>12001-00000-14</v>
          </cell>
          <cell r="F107">
            <v>0</v>
          </cell>
        </row>
        <row r="108">
          <cell r="A108" t="str">
            <v>12001-00000-15</v>
          </cell>
          <cell r="F108">
            <v>2200.0100000000002</v>
          </cell>
        </row>
        <row r="109">
          <cell r="A109" t="str">
            <v>12001-00000-16</v>
          </cell>
          <cell r="F109">
            <v>0</v>
          </cell>
        </row>
        <row r="110">
          <cell r="A110" t="str">
            <v>12001-00000-17</v>
          </cell>
          <cell r="F110">
            <v>0</v>
          </cell>
        </row>
        <row r="111">
          <cell r="A111" t="str">
            <v>12001-00000-18</v>
          </cell>
          <cell r="F111">
            <v>0</v>
          </cell>
        </row>
        <row r="112">
          <cell r="A112" t="str">
            <v>12001-00000-19</v>
          </cell>
          <cell r="F112">
            <v>16813.400000000001</v>
          </cell>
        </row>
        <row r="113">
          <cell r="A113" t="str">
            <v>12001-00000-20</v>
          </cell>
          <cell r="F113">
            <v>99.61</v>
          </cell>
        </row>
        <row r="114">
          <cell r="A114" t="str">
            <v>12001-00000-21</v>
          </cell>
          <cell r="F114">
            <v>0</v>
          </cell>
        </row>
        <row r="115">
          <cell r="A115" t="str">
            <v>12001-00000-22</v>
          </cell>
          <cell r="F115">
            <v>8750.43</v>
          </cell>
        </row>
        <row r="116">
          <cell r="A116" t="str">
            <v>12001-00000-23</v>
          </cell>
          <cell r="F116">
            <v>40815.18</v>
          </cell>
        </row>
        <row r="117">
          <cell r="A117" t="str">
            <v>12001-00000-24</v>
          </cell>
          <cell r="F117">
            <v>576.99</v>
          </cell>
        </row>
        <row r="118">
          <cell r="A118" t="str">
            <v>12001-00000-25</v>
          </cell>
          <cell r="F118">
            <v>2202.4</v>
          </cell>
        </row>
        <row r="119">
          <cell r="A119" t="str">
            <v>12001-00000-26</v>
          </cell>
          <cell r="F119">
            <v>0</v>
          </cell>
        </row>
        <row r="120">
          <cell r="A120" t="str">
            <v>12001-00000-27</v>
          </cell>
          <cell r="F120">
            <v>0</v>
          </cell>
        </row>
        <row r="121">
          <cell r="A121" t="str">
            <v>12001-00000-28</v>
          </cell>
          <cell r="F121">
            <v>0</v>
          </cell>
        </row>
        <row r="122">
          <cell r="A122" t="str">
            <v>12001-00000-29</v>
          </cell>
          <cell r="F122">
            <v>0</v>
          </cell>
        </row>
        <row r="123">
          <cell r="A123" t="str">
            <v>12001-00000-30</v>
          </cell>
          <cell r="F123">
            <v>0</v>
          </cell>
        </row>
        <row r="124">
          <cell r="A124" t="str">
            <v>12001-00000-31</v>
          </cell>
          <cell r="F124">
            <v>0</v>
          </cell>
        </row>
        <row r="125">
          <cell r="A125" t="str">
            <v>12001-00000-32</v>
          </cell>
          <cell r="F125">
            <v>0</v>
          </cell>
        </row>
        <row r="126">
          <cell r="A126" t="str">
            <v>12001-00000-33</v>
          </cell>
          <cell r="F126">
            <v>950</v>
          </cell>
        </row>
        <row r="127">
          <cell r="A127" t="str">
            <v>12001-00000-34</v>
          </cell>
          <cell r="F127">
            <v>441037.75</v>
          </cell>
        </row>
        <row r="128">
          <cell r="A128" t="str">
            <v>12001-00000-35</v>
          </cell>
          <cell r="F128">
            <v>86084.64</v>
          </cell>
        </row>
        <row r="129">
          <cell r="A129" t="str">
            <v>12001-00000-36</v>
          </cell>
          <cell r="F129">
            <v>0</v>
          </cell>
        </row>
        <row r="130">
          <cell r="A130" t="str">
            <v>12001-00000-37</v>
          </cell>
          <cell r="F130">
            <v>0</v>
          </cell>
        </row>
        <row r="131">
          <cell r="A131" t="str">
            <v>12001-00000-38</v>
          </cell>
          <cell r="F131">
            <v>0</v>
          </cell>
        </row>
        <row r="132">
          <cell r="A132" t="str">
            <v>12001-00000-39</v>
          </cell>
          <cell r="F132">
            <v>0</v>
          </cell>
        </row>
        <row r="133">
          <cell r="A133" t="str">
            <v>12001-00000-40</v>
          </cell>
          <cell r="F133">
            <v>0</v>
          </cell>
        </row>
        <row r="134">
          <cell r="A134" t="str">
            <v>12001-00000-41</v>
          </cell>
          <cell r="F134">
            <v>8089455.7400000002</v>
          </cell>
        </row>
        <row r="135">
          <cell r="A135" t="str">
            <v>12001-00000-42</v>
          </cell>
          <cell r="F135">
            <v>0</v>
          </cell>
        </row>
        <row r="136">
          <cell r="A136" t="str">
            <v>12001-00000-43</v>
          </cell>
          <cell r="F136">
            <v>0</v>
          </cell>
        </row>
        <row r="137">
          <cell r="A137" t="str">
            <v>12001-00000-44</v>
          </cell>
          <cell r="F137">
            <v>0</v>
          </cell>
        </row>
        <row r="138">
          <cell r="A138" t="str">
            <v>12001-00000-45</v>
          </cell>
          <cell r="F138">
            <v>0</v>
          </cell>
        </row>
        <row r="139">
          <cell r="A139" t="str">
            <v>12001-00000-46</v>
          </cell>
          <cell r="F139">
            <v>0</v>
          </cell>
        </row>
        <row r="140">
          <cell r="A140" t="str">
            <v>12001-00000-47</v>
          </cell>
          <cell r="F140">
            <v>274627.09999999998</v>
          </cell>
        </row>
        <row r="141">
          <cell r="A141" t="str">
            <v>12001-00000-48</v>
          </cell>
          <cell r="F141">
            <v>0</v>
          </cell>
        </row>
        <row r="142">
          <cell r="A142" t="str">
            <v>12001-00000-49</v>
          </cell>
          <cell r="F142">
            <v>0</v>
          </cell>
        </row>
        <row r="143">
          <cell r="A143" t="str">
            <v>12001-00000-50</v>
          </cell>
          <cell r="F143">
            <v>875</v>
          </cell>
        </row>
        <row r="144">
          <cell r="A144" t="str">
            <v>12001-00000-51</v>
          </cell>
          <cell r="F144">
            <v>2727</v>
          </cell>
        </row>
        <row r="145">
          <cell r="A145" t="str">
            <v>12002-00000-00</v>
          </cell>
          <cell r="F145">
            <v>0</v>
          </cell>
        </row>
        <row r="146">
          <cell r="A146" t="str">
            <v>12002-00000-01</v>
          </cell>
          <cell r="F146">
            <v>60555</v>
          </cell>
        </row>
        <row r="147">
          <cell r="A147" t="str">
            <v>12002-00000-02</v>
          </cell>
          <cell r="F147">
            <v>57839.95</v>
          </cell>
        </row>
        <row r="148">
          <cell r="A148" t="str">
            <v>12002-00000-03</v>
          </cell>
          <cell r="F148">
            <v>0</v>
          </cell>
        </row>
        <row r="149">
          <cell r="A149" t="str">
            <v>12002-00000-04</v>
          </cell>
          <cell r="F149">
            <v>4383.45</v>
          </cell>
        </row>
        <row r="150">
          <cell r="A150" t="str">
            <v>12003-00000-00</v>
          </cell>
          <cell r="F150">
            <v>0</v>
          </cell>
        </row>
        <row r="151">
          <cell r="A151" t="str">
            <v>12003-00000-01</v>
          </cell>
          <cell r="F151">
            <v>14386.24</v>
          </cell>
        </row>
        <row r="152">
          <cell r="A152" t="str">
            <v>12003-00000-02</v>
          </cell>
          <cell r="F152">
            <v>11765.44</v>
          </cell>
        </row>
        <row r="153">
          <cell r="A153" t="str">
            <v>12003-00000-03</v>
          </cell>
          <cell r="F153">
            <v>0</v>
          </cell>
        </row>
        <row r="154">
          <cell r="A154" t="str">
            <v>12003-00000-04</v>
          </cell>
          <cell r="F154">
            <v>950.38</v>
          </cell>
        </row>
        <row r="155">
          <cell r="A155" t="str">
            <v>12004-00000-00</v>
          </cell>
          <cell r="F155">
            <v>0</v>
          </cell>
        </row>
        <row r="156">
          <cell r="A156" t="str">
            <v>12004-00000-01</v>
          </cell>
          <cell r="F156">
            <v>0</v>
          </cell>
        </row>
        <row r="157">
          <cell r="A157" t="str">
            <v>12004-00000-02</v>
          </cell>
          <cell r="F157">
            <v>245.28</v>
          </cell>
        </row>
        <row r="158">
          <cell r="A158" t="str">
            <v>12004-00000-03</v>
          </cell>
          <cell r="F158">
            <v>0</v>
          </cell>
        </row>
        <row r="159">
          <cell r="A159" t="str">
            <v>12004-00000-04</v>
          </cell>
          <cell r="F159">
            <v>618.83000000000004</v>
          </cell>
        </row>
        <row r="160">
          <cell r="A160" t="str">
            <v>12004-00000-05</v>
          </cell>
          <cell r="F160">
            <v>0.8</v>
          </cell>
        </row>
        <row r="161">
          <cell r="A161" t="str">
            <v>12005-00000-00</v>
          </cell>
          <cell r="F161">
            <v>0</v>
          </cell>
        </row>
        <row r="162">
          <cell r="A162" t="str">
            <v>12005-00000-01</v>
          </cell>
          <cell r="F162">
            <v>0</v>
          </cell>
        </row>
        <row r="163">
          <cell r="A163" t="str">
            <v>12005-00000-02</v>
          </cell>
          <cell r="F163">
            <v>0</v>
          </cell>
        </row>
        <row r="164">
          <cell r="A164" t="str">
            <v>12005-00000-03</v>
          </cell>
          <cell r="F164">
            <v>0</v>
          </cell>
        </row>
        <row r="165">
          <cell r="A165" t="str">
            <v>12005-00000-04</v>
          </cell>
          <cell r="F165">
            <v>0</v>
          </cell>
        </row>
        <row r="166">
          <cell r="A166" t="str">
            <v>12005-00000-05</v>
          </cell>
          <cell r="F166">
            <v>0</v>
          </cell>
        </row>
        <row r="167">
          <cell r="A167" t="str">
            <v>12006-00000-00</v>
          </cell>
          <cell r="F167">
            <v>0</v>
          </cell>
        </row>
        <row r="168">
          <cell r="A168" t="str">
            <v>12006-00000-01</v>
          </cell>
          <cell r="F168">
            <v>0</v>
          </cell>
        </row>
        <row r="169">
          <cell r="A169" t="str">
            <v>12006-00000-02</v>
          </cell>
          <cell r="F169">
            <v>0</v>
          </cell>
        </row>
        <row r="170">
          <cell r="A170" t="str">
            <v>12006-00000-03</v>
          </cell>
          <cell r="F170">
            <v>0</v>
          </cell>
        </row>
        <row r="171">
          <cell r="A171" t="str">
            <v>12006-00000-04</v>
          </cell>
          <cell r="F171">
            <v>0</v>
          </cell>
        </row>
        <row r="172">
          <cell r="A172" t="str">
            <v>12007-00000-00</v>
          </cell>
          <cell r="F172">
            <v>0</v>
          </cell>
        </row>
        <row r="173">
          <cell r="A173" t="str">
            <v>12007-00000-01</v>
          </cell>
          <cell r="F173">
            <v>0</v>
          </cell>
        </row>
        <row r="174">
          <cell r="A174" t="str">
            <v>12007-00000-02</v>
          </cell>
          <cell r="F174">
            <v>0</v>
          </cell>
        </row>
        <row r="175">
          <cell r="A175" t="str">
            <v>12007-00000-03</v>
          </cell>
          <cell r="F175">
            <v>0</v>
          </cell>
        </row>
        <row r="176">
          <cell r="A176" t="str">
            <v>12007-00000-05</v>
          </cell>
          <cell r="F176">
            <v>0</v>
          </cell>
        </row>
        <row r="177">
          <cell r="A177" t="str">
            <v>12008-00000-00</v>
          </cell>
          <cell r="F177">
            <v>0</v>
          </cell>
        </row>
        <row r="178">
          <cell r="A178" t="str">
            <v>12008-00000-01</v>
          </cell>
          <cell r="F178">
            <v>0</v>
          </cell>
        </row>
        <row r="179">
          <cell r="A179" t="str">
            <v>12008-00000-02</v>
          </cell>
          <cell r="F179">
            <v>0</v>
          </cell>
        </row>
        <row r="180">
          <cell r="A180" t="str">
            <v>12008-00000-03</v>
          </cell>
          <cell r="F180">
            <v>0</v>
          </cell>
        </row>
        <row r="181">
          <cell r="A181" t="str">
            <v>12009-00000-00</v>
          </cell>
          <cell r="F181">
            <v>0</v>
          </cell>
        </row>
        <row r="182">
          <cell r="A182" t="str">
            <v>12009-00000-01</v>
          </cell>
          <cell r="F182">
            <v>0</v>
          </cell>
        </row>
        <row r="183">
          <cell r="A183" t="str">
            <v>12009-00000-02</v>
          </cell>
          <cell r="F183">
            <v>0</v>
          </cell>
        </row>
        <row r="184">
          <cell r="A184" t="str">
            <v>12009-00000-03</v>
          </cell>
          <cell r="F184">
            <v>0</v>
          </cell>
        </row>
        <row r="185">
          <cell r="A185" t="str">
            <v>12009-00000-04</v>
          </cell>
          <cell r="F185">
            <v>0</v>
          </cell>
        </row>
        <row r="186">
          <cell r="A186" t="str">
            <v>12010-00000-00</v>
          </cell>
          <cell r="F186">
            <v>0</v>
          </cell>
        </row>
        <row r="187">
          <cell r="A187" t="str">
            <v>12010-00000-01</v>
          </cell>
          <cell r="F187">
            <v>1393.36</v>
          </cell>
        </row>
        <row r="188">
          <cell r="A188" t="str">
            <v>12010-00000-02</v>
          </cell>
          <cell r="F188">
            <v>0</v>
          </cell>
        </row>
        <row r="189">
          <cell r="A189" t="str">
            <v>12010-00000-03</v>
          </cell>
          <cell r="F189">
            <v>0</v>
          </cell>
        </row>
        <row r="190">
          <cell r="A190" t="str">
            <v>12011-00000-00</v>
          </cell>
          <cell r="F190">
            <v>0</v>
          </cell>
        </row>
        <row r="191">
          <cell r="A191" t="str">
            <v>12011-00000-01</v>
          </cell>
          <cell r="F191">
            <v>0</v>
          </cell>
        </row>
        <row r="192">
          <cell r="A192" t="str">
            <v>12011-00000-02</v>
          </cell>
          <cell r="F192">
            <v>0</v>
          </cell>
        </row>
        <row r="193">
          <cell r="A193" t="str">
            <v>12011-00000-03</v>
          </cell>
          <cell r="F193">
            <v>0</v>
          </cell>
        </row>
        <row r="194">
          <cell r="A194" t="str">
            <v>12011-00000-04</v>
          </cell>
          <cell r="F194">
            <v>0</v>
          </cell>
        </row>
        <row r="195">
          <cell r="A195" t="str">
            <v>12011-00000-05</v>
          </cell>
          <cell r="F195">
            <v>0</v>
          </cell>
        </row>
        <row r="196">
          <cell r="A196" t="str">
            <v>12012-00000-00</v>
          </cell>
          <cell r="F196">
            <v>0</v>
          </cell>
        </row>
        <row r="197">
          <cell r="A197" t="str">
            <v>12012-00000-01</v>
          </cell>
          <cell r="F197">
            <v>0</v>
          </cell>
        </row>
        <row r="198">
          <cell r="A198" t="str">
            <v>12012-00000-02</v>
          </cell>
          <cell r="F198">
            <v>0</v>
          </cell>
        </row>
        <row r="199">
          <cell r="A199" t="str">
            <v>12013-00000-00</v>
          </cell>
          <cell r="F199">
            <v>0</v>
          </cell>
        </row>
        <row r="200">
          <cell r="A200" t="str">
            <v>12013-00000-01</v>
          </cell>
          <cell r="F200">
            <v>0</v>
          </cell>
        </row>
        <row r="201">
          <cell r="A201" t="str">
            <v>12013-00000-02</v>
          </cell>
          <cell r="F201">
            <v>0</v>
          </cell>
        </row>
        <row r="202">
          <cell r="A202" t="str">
            <v>12013-00000-03</v>
          </cell>
          <cell r="F202">
            <v>0</v>
          </cell>
        </row>
        <row r="203">
          <cell r="A203" t="str">
            <v>12013-00000-04</v>
          </cell>
          <cell r="F203">
            <v>0</v>
          </cell>
        </row>
        <row r="204">
          <cell r="A204" t="str">
            <v>12014-00000-00</v>
          </cell>
          <cell r="F204">
            <v>0</v>
          </cell>
        </row>
        <row r="205">
          <cell r="A205" t="str">
            <v>12014-00000-01</v>
          </cell>
          <cell r="F205">
            <v>0</v>
          </cell>
        </row>
        <row r="206">
          <cell r="A206" t="str">
            <v>12015-00000-00</v>
          </cell>
          <cell r="F206">
            <v>0</v>
          </cell>
        </row>
        <row r="207">
          <cell r="A207" t="str">
            <v>12015-00000-01</v>
          </cell>
          <cell r="F207">
            <v>0</v>
          </cell>
        </row>
        <row r="208">
          <cell r="A208" t="str">
            <v>12015-00000-02</v>
          </cell>
          <cell r="F208">
            <v>0</v>
          </cell>
        </row>
        <row r="209">
          <cell r="A209" t="str">
            <v>12015-00000-03</v>
          </cell>
          <cell r="F209">
            <v>0</v>
          </cell>
        </row>
        <row r="210">
          <cell r="A210" t="str">
            <v>12015-00000-04</v>
          </cell>
          <cell r="F210">
            <v>0</v>
          </cell>
        </row>
        <row r="211">
          <cell r="A211" t="str">
            <v>12016-00000-00</v>
          </cell>
          <cell r="F211">
            <v>0</v>
          </cell>
        </row>
        <row r="212">
          <cell r="A212" t="str">
            <v>12016-00000-01</v>
          </cell>
          <cell r="F212">
            <v>0</v>
          </cell>
        </row>
        <row r="213">
          <cell r="A213" t="str">
            <v>12017-00000-00</v>
          </cell>
          <cell r="F213">
            <v>0</v>
          </cell>
        </row>
        <row r="214">
          <cell r="A214" t="str">
            <v>12017-00000-01</v>
          </cell>
          <cell r="F214">
            <v>0</v>
          </cell>
        </row>
        <row r="215">
          <cell r="A215" t="str">
            <v>12017-00000-02</v>
          </cell>
          <cell r="F215">
            <v>0</v>
          </cell>
        </row>
        <row r="216">
          <cell r="A216" t="str">
            <v>12017-00000-03</v>
          </cell>
          <cell r="F216">
            <v>0</v>
          </cell>
        </row>
        <row r="217">
          <cell r="A217" t="str">
            <v>12017-00000-04</v>
          </cell>
          <cell r="F217">
            <v>0</v>
          </cell>
        </row>
        <row r="218">
          <cell r="A218" t="str">
            <v>12017-00000-05</v>
          </cell>
          <cell r="F218">
            <v>0</v>
          </cell>
        </row>
        <row r="219">
          <cell r="A219" t="str">
            <v>12018-00000-00</v>
          </cell>
          <cell r="F219">
            <v>0</v>
          </cell>
        </row>
        <row r="220">
          <cell r="A220" t="str">
            <v>12018-00000-01</v>
          </cell>
          <cell r="F220">
            <v>0</v>
          </cell>
        </row>
        <row r="221">
          <cell r="A221" t="str">
            <v>12018-00000-02</v>
          </cell>
          <cell r="F221">
            <v>0</v>
          </cell>
        </row>
        <row r="222">
          <cell r="A222" t="str">
            <v>12018-00000-03</v>
          </cell>
          <cell r="F222">
            <v>0</v>
          </cell>
        </row>
        <row r="223">
          <cell r="A223" t="str">
            <v>12018-00000-04</v>
          </cell>
          <cell r="F223">
            <v>0</v>
          </cell>
        </row>
        <row r="224">
          <cell r="A224" t="str">
            <v>12019-00000-00</v>
          </cell>
          <cell r="F224">
            <v>0</v>
          </cell>
        </row>
        <row r="225">
          <cell r="A225" t="str">
            <v>12019-00000-01</v>
          </cell>
          <cell r="F225">
            <v>0</v>
          </cell>
        </row>
        <row r="226">
          <cell r="A226" t="str">
            <v>12019-00000-02</v>
          </cell>
          <cell r="F226">
            <v>0</v>
          </cell>
        </row>
        <row r="227">
          <cell r="A227" t="str">
            <v>12019-00000-03</v>
          </cell>
          <cell r="F227">
            <v>0</v>
          </cell>
        </row>
        <row r="228">
          <cell r="A228" t="str">
            <v>12020-00000-00</v>
          </cell>
          <cell r="F228">
            <v>0</v>
          </cell>
        </row>
        <row r="229">
          <cell r="A229" t="str">
            <v>12020-00000-01</v>
          </cell>
          <cell r="F229">
            <v>0</v>
          </cell>
        </row>
        <row r="230">
          <cell r="A230" t="str">
            <v>12020-00000-02</v>
          </cell>
          <cell r="F230">
            <v>0</v>
          </cell>
        </row>
        <row r="231">
          <cell r="A231" t="str">
            <v>12020-00000-03</v>
          </cell>
          <cell r="F231">
            <v>0</v>
          </cell>
        </row>
        <row r="232">
          <cell r="A232" t="str">
            <v>12020-00000-04</v>
          </cell>
          <cell r="F232">
            <v>0</v>
          </cell>
        </row>
        <row r="233">
          <cell r="A233" t="str">
            <v>12021-00000-00</v>
          </cell>
          <cell r="F233">
            <v>0</v>
          </cell>
        </row>
        <row r="234">
          <cell r="A234" t="str">
            <v>12021-00000-01</v>
          </cell>
          <cell r="F234">
            <v>687.93</v>
          </cell>
        </row>
        <row r="235">
          <cell r="A235" t="str">
            <v>12021-00000-02</v>
          </cell>
          <cell r="F235">
            <v>565.34</v>
          </cell>
        </row>
        <row r="236">
          <cell r="A236" t="str">
            <v>12021-00000-03</v>
          </cell>
          <cell r="F236">
            <v>0</v>
          </cell>
        </row>
        <row r="237">
          <cell r="A237" t="str">
            <v>12021-00000-04</v>
          </cell>
          <cell r="F237">
            <v>70.95</v>
          </cell>
        </row>
        <row r="238">
          <cell r="A238" t="str">
            <v>12022-00000-00</v>
          </cell>
          <cell r="F238">
            <v>0</v>
          </cell>
        </row>
        <row r="239">
          <cell r="A239" t="str">
            <v>12022-00000-01</v>
          </cell>
          <cell r="F239">
            <v>0</v>
          </cell>
        </row>
        <row r="240">
          <cell r="A240" t="str">
            <v>12023-00000-03</v>
          </cell>
          <cell r="F240">
            <v>0</v>
          </cell>
        </row>
        <row r="241">
          <cell r="A241" t="str">
            <v>12023-00000-04</v>
          </cell>
          <cell r="F241">
            <v>0</v>
          </cell>
        </row>
        <row r="242">
          <cell r="A242" t="str">
            <v>12023-00000-05</v>
          </cell>
          <cell r="F242">
            <v>0</v>
          </cell>
        </row>
        <row r="243">
          <cell r="A243" t="str">
            <v>12024-00000-01</v>
          </cell>
          <cell r="F243">
            <v>0</v>
          </cell>
        </row>
        <row r="244">
          <cell r="A244" t="str">
            <v>12051-00000-00</v>
          </cell>
          <cell r="F244">
            <v>0</v>
          </cell>
        </row>
        <row r="245">
          <cell r="A245" t="str">
            <v>12051-00000-01</v>
          </cell>
          <cell r="F245">
            <v>15666.91</v>
          </cell>
        </row>
        <row r="246">
          <cell r="A246" t="str">
            <v>12051-00000-02</v>
          </cell>
          <cell r="F246">
            <v>3667.03</v>
          </cell>
        </row>
        <row r="247">
          <cell r="A247" t="str">
            <v>12051-00000-03</v>
          </cell>
          <cell r="F247">
            <v>17875</v>
          </cell>
        </row>
        <row r="248">
          <cell r="A248" t="str">
            <v>12053-00000-00</v>
          </cell>
          <cell r="F248">
            <v>0</v>
          </cell>
        </row>
        <row r="249">
          <cell r="A249" t="str">
            <v>12053-00000-01</v>
          </cell>
          <cell r="F249">
            <v>24499.88</v>
          </cell>
        </row>
        <row r="250">
          <cell r="A250" t="str">
            <v>12053-00000-02</v>
          </cell>
          <cell r="F250">
            <v>17166.78</v>
          </cell>
        </row>
        <row r="251">
          <cell r="A251" t="str">
            <v>12053-00000-03</v>
          </cell>
          <cell r="F251">
            <v>23041.53</v>
          </cell>
        </row>
        <row r="252">
          <cell r="A252" t="str">
            <v>12053-00000-04</v>
          </cell>
          <cell r="F252">
            <v>0</v>
          </cell>
        </row>
        <row r="253">
          <cell r="A253" t="str">
            <v>12053-00000-06</v>
          </cell>
          <cell r="F253">
            <v>4750.21</v>
          </cell>
        </row>
        <row r="254">
          <cell r="A254" t="str">
            <v>12053-00000-35</v>
          </cell>
          <cell r="F254">
            <v>10125</v>
          </cell>
        </row>
        <row r="255">
          <cell r="A255" t="str">
            <v>12053-00000-63</v>
          </cell>
          <cell r="F255">
            <v>8666.44</v>
          </cell>
        </row>
        <row r="256">
          <cell r="A256" t="str">
            <v>12053-00000-67</v>
          </cell>
          <cell r="F256">
            <v>7567.69</v>
          </cell>
        </row>
        <row r="257">
          <cell r="A257" t="str">
            <v>12053-00000-68</v>
          </cell>
          <cell r="F257">
            <v>22666.84</v>
          </cell>
        </row>
        <row r="258">
          <cell r="A258" t="str">
            <v>12053-00000-72</v>
          </cell>
          <cell r="F258">
            <v>21666.720000000001</v>
          </cell>
        </row>
        <row r="259">
          <cell r="A259" t="str">
            <v>12053-00000-73</v>
          </cell>
          <cell r="F259">
            <v>18958.29</v>
          </cell>
        </row>
        <row r="260">
          <cell r="A260" t="str">
            <v>12053-00000-74</v>
          </cell>
          <cell r="F260">
            <v>0</v>
          </cell>
        </row>
        <row r="261">
          <cell r="A261" t="str">
            <v>12053-00000-75</v>
          </cell>
          <cell r="F261">
            <v>0</v>
          </cell>
        </row>
        <row r="262">
          <cell r="A262" t="str">
            <v>12053-00000-77</v>
          </cell>
          <cell r="F262">
            <v>0</v>
          </cell>
        </row>
        <row r="263">
          <cell r="A263" t="str">
            <v>12053-00000-78</v>
          </cell>
          <cell r="F263">
            <v>39000.01</v>
          </cell>
        </row>
        <row r="264">
          <cell r="A264" t="str">
            <v>12053-00000-79</v>
          </cell>
          <cell r="F264">
            <v>10323.56</v>
          </cell>
        </row>
        <row r="265">
          <cell r="A265" t="str">
            <v>12055-00000-00</v>
          </cell>
          <cell r="F265">
            <v>0</v>
          </cell>
        </row>
        <row r="266">
          <cell r="A266" t="str">
            <v>12055-00000-01</v>
          </cell>
          <cell r="F266">
            <v>44958.29</v>
          </cell>
        </row>
        <row r="267">
          <cell r="A267" t="str">
            <v>12055-00000-39</v>
          </cell>
          <cell r="F267">
            <v>23630.27</v>
          </cell>
        </row>
        <row r="268">
          <cell r="A268" t="str">
            <v>12057-00000-00</v>
          </cell>
          <cell r="F268">
            <v>0</v>
          </cell>
        </row>
        <row r="269">
          <cell r="A269" t="str">
            <v>12057-00000-13</v>
          </cell>
          <cell r="F269">
            <v>3823.56</v>
          </cell>
        </row>
        <row r="270">
          <cell r="A270" t="str">
            <v>12057-00000-18</v>
          </cell>
          <cell r="F270">
            <v>15833.48</v>
          </cell>
        </row>
        <row r="271">
          <cell r="A271" t="str">
            <v>12057-00000-19</v>
          </cell>
          <cell r="F271">
            <v>6500</v>
          </cell>
        </row>
        <row r="272">
          <cell r="A272" t="str">
            <v>12057-00000-20</v>
          </cell>
          <cell r="F272">
            <v>24750</v>
          </cell>
        </row>
        <row r="273">
          <cell r="A273" t="str">
            <v>12057-00000-21</v>
          </cell>
          <cell r="F273">
            <v>21041.73</v>
          </cell>
        </row>
        <row r="274">
          <cell r="A274" t="str">
            <v>12057-00000-22</v>
          </cell>
          <cell r="F274">
            <v>4333.29</v>
          </cell>
        </row>
        <row r="275">
          <cell r="A275" t="str">
            <v>12057-00000-23</v>
          </cell>
          <cell r="F275">
            <v>5958.29</v>
          </cell>
        </row>
        <row r="276">
          <cell r="A276" t="str">
            <v>12057-00000-24</v>
          </cell>
          <cell r="F276">
            <v>14259.96</v>
          </cell>
        </row>
        <row r="277">
          <cell r="A277" t="str">
            <v>12057-00000-25</v>
          </cell>
          <cell r="F277">
            <v>4333.29</v>
          </cell>
        </row>
        <row r="278">
          <cell r="A278" t="str">
            <v>12057-00000-26</v>
          </cell>
          <cell r="F278">
            <v>0</v>
          </cell>
        </row>
        <row r="279">
          <cell r="A279" t="str">
            <v>12057-00000-27</v>
          </cell>
          <cell r="F279">
            <v>0</v>
          </cell>
        </row>
        <row r="280">
          <cell r="A280" t="str">
            <v>12057-00000-28</v>
          </cell>
          <cell r="F280">
            <v>0</v>
          </cell>
        </row>
        <row r="281">
          <cell r="A281" t="str">
            <v>12100-00000-00</v>
          </cell>
          <cell r="F281">
            <v>0</v>
          </cell>
        </row>
        <row r="282">
          <cell r="A282" t="str">
            <v>12100-00000-01</v>
          </cell>
          <cell r="F282">
            <v>40788.870000000003</v>
          </cell>
        </row>
        <row r="283">
          <cell r="A283" t="str">
            <v>12100-00000-02</v>
          </cell>
          <cell r="F283">
            <v>56877.8</v>
          </cell>
        </row>
        <row r="284">
          <cell r="A284" t="str">
            <v>12100-00000-03</v>
          </cell>
          <cell r="F284">
            <v>3361.48</v>
          </cell>
        </row>
        <row r="285">
          <cell r="A285" t="str">
            <v>12100-00000-04</v>
          </cell>
          <cell r="F285">
            <v>0</v>
          </cell>
        </row>
        <row r="286">
          <cell r="A286" t="str">
            <v>12100-00000-05</v>
          </cell>
          <cell r="F286">
            <v>700.83</v>
          </cell>
        </row>
        <row r="287">
          <cell r="A287" t="str">
            <v>12100-00000-06</v>
          </cell>
          <cell r="F287">
            <v>1458.87</v>
          </cell>
        </row>
        <row r="288">
          <cell r="A288" t="str">
            <v>12100-00000-07</v>
          </cell>
          <cell r="F288">
            <v>0</v>
          </cell>
        </row>
        <row r="289">
          <cell r="A289" t="str">
            <v>12100-00000-08</v>
          </cell>
          <cell r="F289">
            <v>0</v>
          </cell>
        </row>
        <row r="290">
          <cell r="A290" t="str">
            <v>12100-00000-09</v>
          </cell>
          <cell r="F290">
            <v>2443.89</v>
          </cell>
        </row>
        <row r="291">
          <cell r="A291" t="str">
            <v>12100-00000-10</v>
          </cell>
          <cell r="F291">
            <v>2763.98</v>
          </cell>
        </row>
        <row r="292">
          <cell r="A292" t="str">
            <v>12101-00000-00</v>
          </cell>
          <cell r="F292">
            <v>0</v>
          </cell>
        </row>
        <row r="293">
          <cell r="A293" t="str">
            <v>12101-00000-01</v>
          </cell>
          <cell r="F293">
            <v>0</v>
          </cell>
        </row>
        <row r="294">
          <cell r="A294" t="str">
            <v>12101-00000-02</v>
          </cell>
          <cell r="F294">
            <v>0</v>
          </cell>
        </row>
        <row r="295">
          <cell r="A295" t="str">
            <v>12101-00000-05</v>
          </cell>
          <cell r="F295">
            <v>0</v>
          </cell>
        </row>
        <row r="296">
          <cell r="A296" t="str">
            <v>13000-00000-00</v>
          </cell>
          <cell r="F296">
            <v>0</v>
          </cell>
        </row>
        <row r="297">
          <cell r="A297" t="str">
            <v>13000-00000-01</v>
          </cell>
          <cell r="F297">
            <v>0</v>
          </cell>
        </row>
        <row r="298">
          <cell r="A298" t="str">
            <v>13020-00000-00</v>
          </cell>
          <cell r="F298">
            <v>0</v>
          </cell>
        </row>
        <row r="299">
          <cell r="A299" t="str">
            <v>13020-13006-00</v>
          </cell>
          <cell r="F299">
            <v>0</v>
          </cell>
        </row>
        <row r="300">
          <cell r="A300" t="str">
            <v>13020-13007-00</v>
          </cell>
          <cell r="F300">
            <v>0</v>
          </cell>
        </row>
        <row r="301">
          <cell r="A301" t="str">
            <v>13020-31010-00</v>
          </cell>
          <cell r="F301">
            <v>86612.67</v>
          </cell>
        </row>
        <row r="302">
          <cell r="A302" t="str">
            <v>13020-31011-00</v>
          </cell>
          <cell r="F302">
            <v>0</v>
          </cell>
        </row>
        <row r="303">
          <cell r="A303" t="str">
            <v>13020-31012-00</v>
          </cell>
          <cell r="F303">
            <v>2181.0500000000002</v>
          </cell>
        </row>
        <row r="304">
          <cell r="A304" t="str">
            <v>13020-31013-00</v>
          </cell>
          <cell r="F304">
            <v>14097.26</v>
          </cell>
        </row>
        <row r="305">
          <cell r="A305" t="str">
            <v>13020-31014-00</v>
          </cell>
          <cell r="F305">
            <v>0</v>
          </cell>
        </row>
        <row r="306">
          <cell r="A306" t="str">
            <v>13020-31015-00</v>
          </cell>
          <cell r="F306">
            <v>0</v>
          </cell>
        </row>
        <row r="307">
          <cell r="A307" t="str">
            <v>13020-31016-00</v>
          </cell>
          <cell r="F307">
            <v>0</v>
          </cell>
        </row>
        <row r="308">
          <cell r="A308" t="str">
            <v>13020-31017-00</v>
          </cell>
          <cell r="F308">
            <v>0</v>
          </cell>
        </row>
        <row r="309">
          <cell r="A309" t="str">
            <v>13020-31018-00</v>
          </cell>
          <cell r="F309">
            <v>3928.9</v>
          </cell>
        </row>
        <row r="310">
          <cell r="A310" t="str">
            <v>13020-31019-00</v>
          </cell>
          <cell r="F310">
            <v>4341.68</v>
          </cell>
        </row>
        <row r="311">
          <cell r="A311" t="str">
            <v>13020-31020-00</v>
          </cell>
          <cell r="F311">
            <v>0</v>
          </cell>
        </row>
        <row r="312">
          <cell r="A312" t="str">
            <v>13020-31021-00</v>
          </cell>
          <cell r="F312">
            <v>0</v>
          </cell>
        </row>
        <row r="313">
          <cell r="A313" t="str">
            <v>13020-31022-00</v>
          </cell>
          <cell r="F313">
            <v>8712.92</v>
          </cell>
        </row>
        <row r="314">
          <cell r="A314" t="str">
            <v>13020-31023-00</v>
          </cell>
          <cell r="F314">
            <v>5466.18</v>
          </cell>
        </row>
        <row r="315">
          <cell r="A315" t="str">
            <v>13020-31024-00</v>
          </cell>
          <cell r="F315">
            <v>0</v>
          </cell>
        </row>
        <row r="316">
          <cell r="A316" t="str">
            <v>13020-31025-00</v>
          </cell>
          <cell r="F316">
            <v>0</v>
          </cell>
        </row>
        <row r="317">
          <cell r="A317" t="str">
            <v>13020-31026-00</v>
          </cell>
          <cell r="F317">
            <v>0</v>
          </cell>
        </row>
        <row r="318">
          <cell r="A318" t="str">
            <v>13020-31027-00</v>
          </cell>
          <cell r="F318">
            <v>0</v>
          </cell>
        </row>
        <row r="319">
          <cell r="A319" t="str">
            <v>13020-31028-00</v>
          </cell>
          <cell r="F319">
            <v>12952.64</v>
          </cell>
        </row>
        <row r="320">
          <cell r="A320" t="str">
            <v>13020-31029-00</v>
          </cell>
          <cell r="F320">
            <v>0</v>
          </cell>
        </row>
        <row r="321">
          <cell r="A321" t="str">
            <v>13020-31030-00</v>
          </cell>
          <cell r="F321">
            <v>11186.76</v>
          </cell>
        </row>
        <row r="322">
          <cell r="A322" t="str">
            <v>13020-31031-00</v>
          </cell>
          <cell r="F322">
            <v>0</v>
          </cell>
        </row>
        <row r="323">
          <cell r="A323" t="str">
            <v>13020-31032-00</v>
          </cell>
          <cell r="F323">
            <v>0</v>
          </cell>
        </row>
        <row r="324">
          <cell r="A324" t="str">
            <v>13020-31033-00</v>
          </cell>
          <cell r="F324">
            <v>11027.55</v>
          </cell>
        </row>
        <row r="325">
          <cell r="A325" t="str">
            <v>13020-31034-00</v>
          </cell>
          <cell r="F325">
            <v>0</v>
          </cell>
        </row>
        <row r="326">
          <cell r="A326" t="str">
            <v>13020-31035-00</v>
          </cell>
          <cell r="F326">
            <v>0</v>
          </cell>
        </row>
        <row r="327">
          <cell r="A327" t="str">
            <v>13020-31036-00</v>
          </cell>
          <cell r="F327">
            <v>0</v>
          </cell>
        </row>
        <row r="328">
          <cell r="A328" t="str">
            <v>13020-31037-00</v>
          </cell>
          <cell r="F328">
            <v>0</v>
          </cell>
        </row>
        <row r="329">
          <cell r="A329" t="str">
            <v>13020-31038-00</v>
          </cell>
          <cell r="F329">
            <v>0</v>
          </cell>
        </row>
        <row r="330">
          <cell r="A330" t="str">
            <v>13020-31039-00</v>
          </cell>
          <cell r="F330">
            <v>0</v>
          </cell>
        </row>
        <row r="331">
          <cell r="A331" t="str">
            <v>13020-31040-00</v>
          </cell>
          <cell r="F331">
            <v>0</v>
          </cell>
        </row>
        <row r="332">
          <cell r="A332" t="str">
            <v>13020-31041-00</v>
          </cell>
          <cell r="F332">
            <v>0</v>
          </cell>
        </row>
        <row r="333">
          <cell r="A333" t="str">
            <v>13020-31042-00</v>
          </cell>
          <cell r="F333">
            <v>0</v>
          </cell>
        </row>
        <row r="334">
          <cell r="A334" t="str">
            <v>13020-31043-00</v>
          </cell>
          <cell r="F334">
            <v>16207.51</v>
          </cell>
        </row>
        <row r="335">
          <cell r="A335" t="str">
            <v>13020-31044-00</v>
          </cell>
          <cell r="F335">
            <v>0</v>
          </cell>
        </row>
        <row r="336">
          <cell r="A336" t="str">
            <v>13020-31045-00</v>
          </cell>
          <cell r="F336">
            <v>0</v>
          </cell>
        </row>
        <row r="337">
          <cell r="A337" t="str">
            <v>13020-31046-00</v>
          </cell>
          <cell r="F337">
            <v>19332.64</v>
          </cell>
        </row>
        <row r="338">
          <cell r="A338" t="str">
            <v>13020-31047-00</v>
          </cell>
          <cell r="F338">
            <v>0</v>
          </cell>
        </row>
        <row r="339">
          <cell r="A339" t="str">
            <v>13020-31048-00</v>
          </cell>
          <cell r="F339">
            <v>0</v>
          </cell>
        </row>
        <row r="340">
          <cell r="A340" t="str">
            <v>13020-31049-00</v>
          </cell>
          <cell r="F340">
            <v>0</v>
          </cell>
        </row>
        <row r="341">
          <cell r="A341" t="str">
            <v>13020-31050-00</v>
          </cell>
          <cell r="F341">
            <v>0</v>
          </cell>
        </row>
        <row r="342">
          <cell r="A342" t="str">
            <v>13020-31051-00</v>
          </cell>
          <cell r="F342">
            <v>0</v>
          </cell>
        </row>
        <row r="343">
          <cell r="A343" t="str">
            <v>13020-31053-00</v>
          </cell>
          <cell r="F343">
            <v>0</v>
          </cell>
        </row>
        <row r="344">
          <cell r="A344" t="str">
            <v>13020-31054-00</v>
          </cell>
          <cell r="F344">
            <v>0</v>
          </cell>
        </row>
        <row r="345">
          <cell r="A345" t="str">
            <v>13020-31055-00</v>
          </cell>
          <cell r="F345">
            <v>7846.64</v>
          </cell>
        </row>
        <row r="346">
          <cell r="A346" t="str">
            <v>13020-31056-00</v>
          </cell>
          <cell r="F346">
            <v>0</v>
          </cell>
        </row>
        <row r="347">
          <cell r="A347" t="str">
            <v>13020-31057-00</v>
          </cell>
          <cell r="F347">
            <v>0</v>
          </cell>
        </row>
        <row r="348">
          <cell r="A348" t="str">
            <v>13020-31058-00</v>
          </cell>
          <cell r="F348">
            <v>0</v>
          </cell>
        </row>
        <row r="349">
          <cell r="A349" t="str">
            <v>13020-31059-00</v>
          </cell>
          <cell r="F349">
            <v>0</v>
          </cell>
        </row>
        <row r="350">
          <cell r="A350" t="str">
            <v>13020-31060-00</v>
          </cell>
          <cell r="F350">
            <v>0</v>
          </cell>
        </row>
        <row r="351">
          <cell r="A351" t="str">
            <v>13020-31061-00</v>
          </cell>
          <cell r="F351">
            <v>0</v>
          </cell>
        </row>
        <row r="352">
          <cell r="A352" t="str">
            <v>13020-31062-00</v>
          </cell>
          <cell r="F352">
            <v>0</v>
          </cell>
        </row>
        <row r="353">
          <cell r="A353" t="str">
            <v>13020-31063-00</v>
          </cell>
          <cell r="F353">
            <v>0</v>
          </cell>
        </row>
        <row r="354">
          <cell r="A354" t="str">
            <v>13020-31064-00</v>
          </cell>
          <cell r="F354">
            <v>0</v>
          </cell>
        </row>
        <row r="355">
          <cell r="A355" t="str">
            <v>13020-31065-00</v>
          </cell>
          <cell r="F355">
            <v>9204.9500000000007</v>
          </cell>
        </row>
        <row r="356">
          <cell r="A356" t="str">
            <v>13020-31066-00</v>
          </cell>
          <cell r="F356">
            <v>0</v>
          </cell>
        </row>
        <row r="357">
          <cell r="A357" t="str">
            <v>13020-31067-00</v>
          </cell>
          <cell r="F357">
            <v>0</v>
          </cell>
        </row>
        <row r="358">
          <cell r="A358" t="str">
            <v>13020-31068-00</v>
          </cell>
          <cell r="F358">
            <v>19568.919999999998</v>
          </cell>
        </row>
        <row r="359">
          <cell r="A359" t="str">
            <v>13020-31069-00</v>
          </cell>
          <cell r="F359">
            <v>0</v>
          </cell>
        </row>
        <row r="360">
          <cell r="A360" t="str">
            <v>13020-31070-00</v>
          </cell>
          <cell r="F360">
            <v>15217.8</v>
          </cell>
        </row>
        <row r="361">
          <cell r="A361" t="str">
            <v>13020-31071-00</v>
          </cell>
          <cell r="F361">
            <v>0</v>
          </cell>
        </row>
        <row r="362">
          <cell r="A362" t="str">
            <v>13020-31072-00</v>
          </cell>
          <cell r="F362">
            <v>0</v>
          </cell>
        </row>
        <row r="363">
          <cell r="A363" t="str">
            <v>13020-31073-00</v>
          </cell>
          <cell r="F363">
            <v>0</v>
          </cell>
        </row>
        <row r="364">
          <cell r="A364" t="str">
            <v>13020-31074-00</v>
          </cell>
          <cell r="F364">
            <v>0</v>
          </cell>
        </row>
        <row r="365">
          <cell r="A365" t="str">
            <v>13020-31075-00</v>
          </cell>
          <cell r="F365">
            <v>0</v>
          </cell>
        </row>
        <row r="366">
          <cell r="A366" t="str">
            <v>13020-31076-00</v>
          </cell>
          <cell r="F366">
            <v>0</v>
          </cell>
        </row>
        <row r="367">
          <cell r="A367" t="str">
            <v>13020-31077-00</v>
          </cell>
          <cell r="F367">
            <v>0</v>
          </cell>
        </row>
        <row r="368">
          <cell r="A368" t="str">
            <v>13020-31078-00</v>
          </cell>
          <cell r="F368">
            <v>0</v>
          </cell>
        </row>
        <row r="369">
          <cell r="A369" t="str">
            <v>13020-31900-00</v>
          </cell>
          <cell r="F369">
            <v>0</v>
          </cell>
        </row>
        <row r="370">
          <cell r="A370" t="str">
            <v>13020-31910-00</v>
          </cell>
          <cell r="F370">
            <v>0</v>
          </cell>
        </row>
        <row r="371">
          <cell r="A371" t="str">
            <v>13020-43001-00</v>
          </cell>
          <cell r="F371">
            <v>25043.43</v>
          </cell>
        </row>
        <row r="372">
          <cell r="A372" t="str">
            <v>13020-43002-00</v>
          </cell>
          <cell r="F372">
            <v>22651.5</v>
          </cell>
        </row>
        <row r="373">
          <cell r="A373" t="str">
            <v>13020-43003-00</v>
          </cell>
          <cell r="F373">
            <v>6584.25</v>
          </cell>
        </row>
        <row r="374">
          <cell r="A374" t="str">
            <v>13020-43005-00</v>
          </cell>
          <cell r="F374">
            <v>28059.03</v>
          </cell>
        </row>
        <row r="375">
          <cell r="A375" t="str">
            <v>13020-43009-00</v>
          </cell>
          <cell r="F375">
            <v>37063.269999999997</v>
          </cell>
        </row>
        <row r="376">
          <cell r="A376" t="str">
            <v>13020-43029-00</v>
          </cell>
          <cell r="F376">
            <v>0</v>
          </cell>
        </row>
        <row r="377">
          <cell r="A377" t="str">
            <v>13020-43030-00</v>
          </cell>
          <cell r="F377">
            <v>70973.509999999995</v>
          </cell>
        </row>
        <row r="378">
          <cell r="A378" t="str">
            <v>13020-43031-00</v>
          </cell>
          <cell r="F378">
            <v>28927.33</v>
          </cell>
        </row>
        <row r="379">
          <cell r="A379" t="str">
            <v>13020-43032-00</v>
          </cell>
          <cell r="F379">
            <v>31724.880000000001</v>
          </cell>
        </row>
        <row r="380">
          <cell r="A380" t="str">
            <v>13020-43041-00</v>
          </cell>
          <cell r="F380">
            <v>24846.35</v>
          </cell>
        </row>
        <row r="381">
          <cell r="A381" t="str">
            <v>13020-43052-00</v>
          </cell>
          <cell r="F381">
            <v>0</v>
          </cell>
        </row>
        <row r="382">
          <cell r="A382" t="str">
            <v>13020-45001-00</v>
          </cell>
          <cell r="F382">
            <v>39254.730000000003</v>
          </cell>
        </row>
        <row r="383">
          <cell r="A383" t="str">
            <v>13020-45002-00</v>
          </cell>
          <cell r="F383">
            <v>110471.51</v>
          </cell>
        </row>
        <row r="384">
          <cell r="A384" t="str">
            <v>13020-45003-00</v>
          </cell>
          <cell r="F384">
            <v>71.08</v>
          </cell>
        </row>
        <row r="385">
          <cell r="A385" t="str">
            <v>13020-45005-00</v>
          </cell>
          <cell r="F385">
            <v>92074.9</v>
          </cell>
        </row>
        <row r="386">
          <cell r="A386" t="str">
            <v>13020-45009-00</v>
          </cell>
          <cell r="F386">
            <v>2591.23</v>
          </cell>
        </row>
        <row r="387">
          <cell r="A387" t="str">
            <v>13020-45029-00</v>
          </cell>
          <cell r="F387">
            <v>2967.28</v>
          </cell>
        </row>
        <row r="388">
          <cell r="A388" t="str">
            <v>13020-45030-00</v>
          </cell>
          <cell r="F388">
            <v>19347.509999999998</v>
          </cell>
        </row>
        <row r="389">
          <cell r="A389" t="str">
            <v>13020-45031-00</v>
          </cell>
          <cell r="F389">
            <v>1534.97</v>
          </cell>
        </row>
        <row r="390">
          <cell r="A390" t="str">
            <v>13020-45032-00</v>
          </cell>
          <cell r="F390">
            <v>9.6999999999999993</v>
          </cell>
        </row>
        <row r="391">
          <cell r="A391" t="str">
            <v>13020-45052-00</v>
          </cell>
          <cell r="F391">
            <v>0</v>
          </cell>
        </row>
        <row r="392">
          <cell r="A392" t="str">
            <v>13050-00000-00</v>
          </cell>
          <cell r="F392">
            <v>0</v>
          </cell>
        </row>
        <row r="393">
          <cell r="A393" t="str">
            <v>13050-13006-00</v>
          </cell>
          <cell r="F393">
            <v>0</v>
          </cell>
        </row>
        <row r="394">
          <cell r="A394" t="str">
            <v>13050-13007-00</v>
          </cell>
          <cell r="F394">
            <v>14762.61</v>
          </cell>
        </row>
        <row r="395">
          <cell r="A395" t="str">
            <v>13050-13008-00</v>
          </cell>
          <cell r="F395">
            <v>0</v>
          </cell>
        </row>
        <row r="396">
          <cell r="A396" t="str">
            <v>13050-31010-00</v>
          </cell>
          <cell r="F396">
            <v>63775.519999999997</v>
          </cell>
        </row>
        <row r="397">
          <cell r="A397" t="str">
            <v>13050-31011-00</v>
          </cell>
          <cell r="F397">
            <v>0</v>
          </cell>
        </row>
        <row r="398">
          <cell r="A398" t="str">
            <v>13050-31012-00</v>
          </cell>
          <cell r="F398">
            <v>15631.93</v>
          </cell>
        </row>
        <row r="399">
          <cell r="A399" t="str">
            <v>13050-31013-00</v>
          </cell>
          <cell r="F399">
            <v>0</v>
          </cell>
        </row>
        <row r="400">
          <cell r="A400" t="str">
            <v>13050-31014-00</v>
          </cell>
          <cell r="F400">
            <v>0</v>
          </cell>
        </row>
        <row r="401">
          <cell r="A401" t="str">
            <v>13050-31015-00</v>
          </cell>
          <cell r="F401">
            <v>0</v>
          </cell>
        </row>
        <row r="402">
          <cell r="A402" t="str">
            <v>13050-31016-00</v>
          </cell>
          <cell r="F402">
            <v>0</v>
          </cell>
        </row>
        <row r="403">
          <cell r="A403" t="str">
            <v>13050-31017-00</v>
          </cell>
          <cell r="F403">
            <v>0</v>
          </cell>
        </row>
        <row r="404">
          <cell r="A404" t="str">
            <v>13050-31018-00</v>
          </cell>
          <cell r="F404">
            <v>27092.49</v>
          </cell>
        </row>
        <row r="405">
          <cell r="A405" t="str">
            <v>13050-31019-00</v>
          </cell>
          <cell r="F405">
            <v>13434.11</v>
          </cell>
        </row>
        <row r="406">
          <cell r="A406" t="str">
            <v>13050-31020-00</v>
          </cell>
          <cell r="F406">
            <v>0</v>
          </cell>
        </row>
        <row r="407">
          <cell r="A407" t="str">
            <v>13050-31021-00</v>
          </cell>
          <cell r="F407">
            <v>0</v>
          </cell>
        </row>
        <row r="408">
          <cell r="A408" t="str">
            <v>13050-31022-00</v>
          </cell>
          <cell r="F408">
            <v>44285.39</v>
          </cell>
        </row>
        <row r="409">
          <cell r="A409" t="str">
            <v>13050-31023-00</v>
          </cell>
          <cell r="F409">
            <v>23554.34</v>
          </cell>
        </row>
        <row r="410">
          <cell r="A410" t="str">
            <v>13050-31024-00</v>
          </cell>
          <cell r="F410">
            <v>0</v>
          </cell>
        </row>
        <row r="411">
          <cell r="A411" t="str">
            <v>13050-31025-00</v>
          </cell>
          <cell r="F411">
            <v>0</v>
          </cell>
        </row>
        <row r="412">
          <cell r="A412" t="str">
            <v>13050-31026-00</v>
          </cell>
          <cell r="F412">
            <v>0</v>
          </cell>
        </row>
        <row r="413">
          <cell r="A413" t="str">
            <v>13050-31027-00</v>
          </cell>
          <cell r="F413">
            <v>0</v>
          </cell>
        </row>
        <row r="414">
          <cell r="A414" t="str">
            <v>13050-31028-00</v>
          </cell>
          <cell r="F414">
            <v>16671.240000000002</v>
          </cell>
        </row>
        <row r="415">
          <cell r="A415" t="str">
            <v>13050-31029-00</v>
          </cell>
          <cell r="F415">
            <v>0</v>
          </cell>
        </row>
        <row r="416">
          <cell r="A416" t="str">
            <v>13050-31030-00</v>
          </cell>
          <cell r="F416">
            <v>14096.28</v>
          </cell>
        </row>
        <row r="417">
          <cell r="A417" t="str">
            <v>13050-31031-00</v>
          </cell>
          <cell r="F417">
            <v>0</v>
          </cell>
        </row>
        <row r="418">
          <cell r="A418" t="str">
            <v>13050-31032-00</v>
          </cell>
          <cell r="F418">
            <v>0</v>
          </cell>
        </row>
        <row r="419">
          <cell r="A419" t="str">
            <v>13050-31033-00</v>
          </cell>
          <cell r="F419">
            <v>18542.62</v>
          </cell>
        </row>
        <row r="420">
          <cell r="A420" t="str">
            <v>13050-31034-00</v>
          </cell>
          <cell r="F420">
            <v>0</v>
          </cell>
        </row>
        <row r="421">
          <cell r="A421" t="str">
            <v>13050-31035-00</v>
          </cell>
          <cell r="F421">
            <v>0</v>
          </cell>
        </row>
        <row r="422">
          <cell r="A422" t="str">
            <v>13050-31036-00</v>
          </cell>
          <cell r="F422">
            <v>0</v>
          </cell>
        </row>
        <row r="423">
          <cell r="A423" t="str">
            <v>13050-31037-00</v>
          </cell>
          <cell r="F423">
            <v>0</v>
          </cell>
        </row>
        <row r="424">
          <cell r="A424" t="str">
            <v>13050-31038-00</v>
          </cell>
          <cell r="F424">
            <v>0</v>
          </cell>
        </row>
        <row r="425">
          <cell r="A425" t="str">
            <v>13050-31039-00</v>
          </cell>
          <cell r="F425">
            <v>0</v>
          </cell>
        </row>
        <row r="426">
          <cell r="A426" t="str">
            <v>13050-31040-00</v>
          </cell>
          <cell r="F426">
            <v>0</v>
          </cell>
        </row>
        <row r="427">
          <cell r="A427" t="str">
            <v>13050-31041-00</v>
          </cell>
          <cell r="F427">
            <v>0</v>
          </cell>
        </row>
        <row r="428">
          <cell r="A428" t="str">
            <v>13050-31042-00</v>
          </cell>
          <cell r="F428">
            <v>0</v>
          </cell>
        </row>
        <row r="429">
          <cell r="A429" t="str">
            <v>13050-31043-00</v>
          </cell>
          <cell r="F429">
            <v>30093.57</v>
          </cell>
        </row>
        <row r="430">
          <cell r="A430" t="str">
            <v>13050-31044-00</v>
          </cell>
          <cell r="F430">
            <v>0</v>
          </cell>
        </row>
        <row r="431">
          <cell r="A431" t="str">
            <v>13050-31045-00</v>
          </cell>
          <cell r="F431">
            <v>0</v>
          </cell>
        </row>
        <row r="432">
          <cell r="A432" t="str">
            <v>13050-31046-00</v>
          </cell>
          <cell r="F432">
            <v>12526.68</v>
          </cell>
        </row>
        <row r="433">
          <cell r="A433" t="str">
            <v>13050-31047-00</v>
          </cell>
          <cell r="F433">
            <v>0</v>
          </cell>
        </row>
        <row r="434">
          <cell r="A434" t="str">
            <v>13050-31048-00</v>
          </cell>
          <cell r="F434">
            <v>0</v>
          </cell>
        </row>
        <row r="435">
          <cell r="A435" t="str">
            <v>13050-31049-00</v>
          </cell>
          <cell r="F435">
            <v>0</v>
          </cell>
        </row>
        <row r="436">
          <cell r="A436" t="str">
            <v>13050-31050-00</v>
          </cell>
          <cell r="F436">
            <v>0</v>
          </cell>
        </row>
        <row r="437">
          <cell r="A437" t="str">
            <v>13050-31051-00</v>
          </cell>
          <cell r="F437">
            <v>0</v>
          </cell>
        </row>
        <row r="438">
          <cell r="A438" t="str">
            <v>13050-31053-00</v>
          </cell>
          <cell r="F438">
            <v>0</v>
          </cell>
        </row>
        <row r="439">
          <cell r="A439" t="str">
            <v>13050-31054-00</v>
          </cell>
          <cell r="F439">
            <v>0</v>
          </cell>
        </row>
        <row r="440">
          <cell r="A440" t="str">
            <v>13050-31055-00</v>
          </cell>
          <cell r="F440">
            <v>11652.33</v>
          </cell>
        </row>
        <row r="441">
          <cell r="A441" t="str">
            <v>13050-31056-00</v>
          </cell>
          <cell r="F441">
            <v>0</v>
          </cell>
        </row>
        <row r="442">
          <cell r="A442" t="str">
            <v>13050-31057-00</v>
          </cell>
          <cell r="F442">
            <v>0</v>
          </cell>
        </row>
        <row r="443">
          <cell r="A443" t="str">
            <v>13050-31058-00</v>
          </cell>
          <cell r="F443">
            <v>0</v>
          </cell>
        </row>
        <row r="444">
          <cell r="A444" t="str">
            <v>13050-31059-00</v>
          </cell>
          <cell r="F444">
            <v>0</v>
          </cell>
        </row>
        <row r="445">
          <cell r="A445" t="str">
            <v>13050-31060-00</v>
          </cell>
          <cell r="F445">
            <v>0</v>
          </cell>
        </row>
        <row r="446">
          <cell r="A446" t="str">
            <v>13050-31061-00</v>
          </cell>
          <cell r="F446">
            <v>0</v>
          </cell>
        </row>
        <row r="447">
          <cell r="A447" t="str">
            <v>13050-31062-00</v>
          </cell>
          <cell r="F447">
            <v>0</v>
          </cell>
        </row>
        <row r="448">
          <cell r="A448" t="str">
            <v>13050-31063-00</v>
          </cell>
          <cell r="F448">
            <v>0</v>
          </cell>
        </row>
        <row r="449">
          <cell r="A449" t="str">
            <v>13050-31064-00</v>
          </cell>
          <cell r="F449">
            <v>0</v>
          </cell>
        </row>
        <row r="450">
          <cell r="A450" t="str">
            <v>13050-31065-00</v>
          </cell>
          <cell r="F450">
            <v>14361.51</v>
          </cell>
        </row>
        <row r="451">
          <cell r="A451" t="str">
            <v>13050-31066-00</v>
          </cell>
          <cell r="F451">
            <v>0</v>
          </cell>
        </row>
        <row r="452">
          <cell r="A452" t="str">
            <v>13050-31067-00</v>
          </cell>
          <cell r="F452">
            <v>0</v>
          </cell>
        </row>
        <row r="453">
          <cell r="A453" t="str">
            <v>13050-31068-00</v>
          </cell>
          <cell r="F453">
            <v>61722.95</v>
          </cell>
        </row>
        <row r="454">
          <cell r="A454" t="str">
            <v>13050-31069-00</v>
          </cell>
          <cell r="F454">
            <v>0</v>
          </cell>
        </row>
        <row r="455">
          <cell r="A455" t="str">
            <v>13050-31070-00</v>
          </cell>
          <cell r="F455">
            <v>22673.02</v>
          </cell>
        </row>
        <row r="456">
          <cell r="A456" t="str">
            <v>13050-31071-00</v>
          </cell>
          <cell r="F456">
            <v>0</v>
          </cell>
        </row>
        <row r="457">
          <cell r="A457" t="str">
            <v>13050-31072-00</v>
          </cell>
          <cell r="F457">
            <v>0</v>
          </cell>
        </row>
        <row r="458">
          <cell r="A458" t="str">
            <v>13050-31073-00</v>
          </cell>
          <cell r="F458">
            <v>0</v>
          </cell>
        </row>
        <row r="459">
          <cell r="A459" t="str">
            <v>13050-31074-00</v>
          </cell>
          <cell r="F459">
            <v>0</v>
          </cell>
        </row>
        <row r="460">
          <cell r="A460" t="str">
            <v>13050-31075-00</v>
          </cell>
          <cell r="F460">
            <v>0</v>
          </cell>
        </row>
        <row r="461">
          <cell r="A461" t="str">
            <v>13050-31076-00</v>
          </cell>
          <cell r="F461">
            <v>0</v>
          </cell>
        </row>
        <row r="462">
          <cell r="A462" t="str">
            <v>13050-31077-00</v>
          </cell>
          <cell r="F462">
            <v>0</v>
          </cell>
        </row>
        <row r="463">
          <cell r="A463" t="str">
            <v>13050-31078-00</v>
          </cell>
          <cell r="F463">
            <v>0</v>
          </cell>
        </row>
        <row r="464">
          <cell r="A464" t="str">
            <v>13050-31900-00</v>
          </cell>
          <cell r="F464">
            <v>0</v>
          </cell>
        </row>
        <row r="465">
          <cell r="A465" t="str">
            <v>13050-31910-00</v>
          </cell>
          <cell r="F465">
            <v>0</v>
          </cell>
        </row>
        <row r="466">
          <cell r="A466" t="str">
            <v>13050-43001-00</v>
          </cell>
          <cell r="F466">
            <v>80837.649999999994</v>
          </cell>
        </row>
        <row r="467">
          <cell r="A467" t="str">
            <v>13050-43002-00</v>
          </cell>
          <cell r="F467">
            <v>35359.9</v>
          </cell>
        </row>
        <row r="468">
          <cell r="A468" t="str">
            <v>13050-43003-00</v>
          </cell>
          <cell r="F468">
            <v>987.99</v>
          </cell>
        </row>
        <row r="469">
          <cell r="A469" t="str">
            <v>13050-43005-00</v>
          </cell>
          <cell r="F469">
            <v>76188.87</v>
          </cell>
        </row>
        <row r="470">
          <cell r="A470" t="str">
            <v>13050-43009-00</v>
          </cell>
          <cell r="F470">
            <v>128556.92</v>
          </cell>
        </row>
        <row r="471">
          <cell r="A471" t="str">
            <v>13050-43029-00</v>
          </cell>
          <cell r="F471">
            <v>0</v>
          </cell>
        </row>
        <row r="472">
          <cell r="A472" t="str">
            <v>13050-43030-00</v>
          </cell>
          <cell r="F472">
            <v>255192.7</v>
          </cell>
        </row>
        <row r="473">
          <cell r="A473" t="str">
            <v>13050-43031-00</v>
          </cell>
          <cell r="F473">
            <v>53896.72</v>
          </cell>
        </row>
        <row r="474">
          <cell r="A474" t="str">
            <v>13050-43032-00</v>
          </cell>
          <cell r="F474">
            <v>62673.7</v>
          </cell>
        </row>
        <row r="475">
          <cell r="A475" t="str">
            <v>13050-43041-00</v>
          </cell>
          <cell r="F475">
            <v>44737.09</v>
          </cell>
        </row>
        <row r="476">
          <cell r="A476" t="str">
            <v>13050-43052-00</v>
          </cell>
          <cell r="F476">
            <v>0</v>
          </cell>
        </row>
        <row r="477">
          <cell r="A477" t="str">
            <v>13050-45001-00</v>
          </cell>
          <cell r="F477">
            <v>9870.2800000000007</v>
          </cell>
        </row>
        <row r="478">
          <cell r="A478" t="str">
            <v>13050-45002-00</v>
          </cell>
          <cell r="F478">
            <v>20147.759999999998</v>
          </cell>
        </row>
        <row r="479">
          <cell r="A479" t="str">
            <v>13050-45003-00</v>
          </cell>
          <cell r="F479">
            <v>5602.14</v>
          </cell>
        </row>
        <row r="480">
          <cell r="A480" t="str">
            <v>13050-45005-00</v>
          </cell>
          <cell r="F480">
            <v>20206.96</v>
          </cell>
        </row>
        <row r="481">
          <cell r="A481" t="str">
            <v>13050-45009-00</v>
          </cell>
          <cell r="F481">
            <v>129.75</v>
          </cell>
        </row>
        <row r="482">
          <cell r="A482" t="str">
            <v>13050-45029-00</v>
          </cell>
          <cell r="F482">
            <v>283.69</v>
          </cell>
        </row>
        <row r="483">
          <cell r="A483" t="str">
            <v>13050-45030-00</v>
          </cell>
          <cell r="F483">
            <v>6478.55</v>
          </cell>
        </row>
        <row r="484">
          <cell r="A484" t="str">
            <v>13050-45031-00</v>
          </cell>
          <cell r="F484">
            <v>2001.89</v>
          </cell>
        </row>
        <row r="485">
          <cell r="A485" t="str">
            <v>13050-45032-00</v>
          </cell>
          <cell r="F485">
            <v>14517.06</v>
          </cell>
        </row>
        <row r="486">
          <cell r="A486" t="str">
            <v>13050-45052-00</v>
          </cell>
          <cell r="F486">
            <v>0</v>
          </cell>
        </row>
        <row r="487">
          <cell r="A487" t="str">
            <v>13060-00000-00</v>
          </cell>
          <cell r="F487">
            <v>0</v>
          </cell>
        </row>
        <row r="488">
          <cell r="A488" t="str">
            <v>13060-14001-00</v>
          </cell>
          <cell r="F488">
            <v>0</v>
          </cell>
        </row>
        <row r="489">
          <cell r="A489" t="str">
            <v>13060-14049-00</v>
          </cell>
          <cell r="F489">
            <v>0</v>
          </cell>
        </row>
        <row r="490">
          <cell r="A490" t="str">
            <v>13060-31022-00</v>
          </cell>
          <cell r="F490">
            <v>0</v>
          </cell>
        </row>
        <row r="491">
          <cell r="A491" t="str">
            <v>13060-31072-00</v>
          </cell>
          <cell r="F491">
            <v>584.45000000000005</v>
          </cell>
        </row>
        <row r="492">
          <cell r="A492" t="str">
            <v>13060-41001-00</v>
          </cell>
          <cell r="F492">
            <v>136436.59</v>
          </cell>
        </row>
        <row r="493">
          <cell r="A493" t="str">
            <v>13060-41002-00</v>
          </cell>
          <cell r="F493">
            <v>63980.97</v>
          </cell>
        </row>
        <row r="494">
          <cell r="A494" t="str">
            <v>13060-41003-00</v>
          </cell>
          <cell r="F494">
            <v>81348.13</v>
          </cell>
        </row>
        <row r="495">
          <cell r="A495" t="str">
            <v>13060-41004-00</v>
          </cell>
          <cell r="F495">
            <v>40316.379999999997</v>
          </cell>
        </row>
        <row r="496">
          <cell r="A496" t="str">
            <v>13060-41005-00</v>
          </cell>
          <cell r="F496">
            <v>38523.949999999997</v>
          </cell>
        </row>
        <row r="497">
          <cell r="A497" t="str">
            <v>13060-41009-00</v>
          </cell>
          <cell r="F497">
            <v>65208.89</v>
          </cell>
        </row>
        <row r="498">
          <cell r="A498" t="str">
            <v>13060-41029-00</v>
          </cell>
          <cell r="F498">
            <v>25041.4</v>
          </cell>
        </row>
        <row r="499">
          <cell r="A499" t="str">
            <v>13060-41030-00</v>
          </cell>
          <cell r="F499">
            <v>66755.210000000006</v>
          </cell>
        </row>
        <row r="500">
          <cell r="A500" t="str">
            <v>13060-41031-00</v>
          </cell>
          <cell r="F500">
            <v>17695.95</v>
          </cell>
        </row>
        <row r="501">
          <cell r="A501" t="str">
            <v>13060-41032-00</v>
          </cell>
          <cell r="F501">
            <v>14760.05</v>
          </cell>
        </row>
        <row r="502">
          <cell r="A502" t="str">
            <v>13060-41041-00</v>
          </cell>
          <cell r="F502">
            <v>10327.629999999999</v>
          </cell>
        </row>
        <row r="503">
          <cell r="A503" t="str">
            <v>13060-41049-00</v>
          </cell>
          <cell r="F503">
            <v>3838.4</v>
          </cell>
        </row>
        <row r="504">
          <cell r="A504" t="str">
            <v>13060-41052-00</v>
          </cell>
          <cell r="F504">
            <v>0</v>
          </cell>
        </row>
        <row r="505">
          <cell r="A505" t="str">
            <v>13065-00000-00</v>
          </cell>
          <cell r="F505">
            <v>0</v>
          </cell>
        </row>
        <row r="506">
          <cell r="A506" t="str">
            <v>13065-41001-00</v>
          </cell>
          <cell r="F506">
            <v>146673.65</v>
          </cell>
        </row>
        <row r="507">
          <cell r="A507" t="str">
            <v>13065-41002-00</v>
          </cell>
          <cell r="F507">
            <v>43476</v>
          </cell>
        </row>
        <row r="508">
          <cell r="A508" t="str">
            <v>13065-41003-00</v>
          </cell>
          <cell r="F508">
            <v>31725</v>
          </cell>
        </row>
        <row r="509">
          <cell r="A509" t="str">
            <v>13065-41004-00</v>
          </cell>
          <cell r="F509">
            <v>28508.33</v>
          </cell>
        </row>
        <row r="510">
          <cell r="A510" t="str">
            <v>13065-41005-00</v>
          </cell>
          <cell r="F510">
            <v>17450.349999999999</v>
          </cell>
        </row>
        <row r="511">
          <cell r="A511" t="str">
            <v>13065-41009-00</v>
          </cell>
          <cell r="F511">
            <v>0</v>
          </cell>
        </row>
        <row r="512">
          <cell r="A512" t="str">
            <v>13065-41029-00</v>
          </cell>
          <cell r="F512">
            <v>0</v>
          </cell>
        </row>
        <row r="513">
          <cell r="A513" t="str">
            <v>13065-41030-00</v>
          </cell>
          <cell r="F513">
            <v>4016.15</v>
          </cell>
        </row>
        <row r="514">
          <cell r="A514" t="str">
            <v>13065-41031-00</v>
          </cell>
          <cell r="F514">
            <v>0</v>
          </cell>
        </row>
        <row r="515">
          <cell r="A515" t="str">
            <v>13065-41032-00</v>
          </cell>
          <cell r="F515">
            <v>0</v>
          </cell>
        </row>
        <row r="516">
          <cell r="A516" t="str">
            <v>13065-41041-00</v>
          </cell>
          <cell r="F516">
            <v>4367.3500000000004</v>
          </cell>
        </row>
        <row r="517">
          <cell r="A517" t="str">
            <v>13065-41049-00</v>
          </cell>
          <cell r="F517">
            <v>0</v>
          </cell>
        </row>
        <row r="518">
          <cell r="A518" t="str">
            <v>13066-00000-00</v>
          </cell>
          <cell r="F518">
            <v>0</v>
          </cell>
        </row>
        <row r="519">
          <cell r="A519" t="str">
            <v>13066-41001-00</v>
          </cell>
          <cell r="F519">
            <v>176670.88</v>
          </cell>
        </row>
        <row r="520">
          <cell r="A520" t="str">
            <v>13066-41002-00</v>
          </cell>
          <cell r="F520">
            <v>90409.84</v>
          </cell>
        </row>
        <row r="521">
          <cell r="A521" t="str">
            <v>13066-41003-00</v>
          </cell>
          <cell r="F521">
            <v>74778.679999999993</v>
          </cell>
        </row>
        <row r="522">
          <cell r="A522" t="str">
            <v>13066-41004-00</v>
          </cell>
          <cell r="F522">
            <v>67978.899999999994</v>
          </cell>
        </row>
        <row r="523">
          <cell r="A523" t="str">
            <v>13066-41005-00</v>
          </cell>
          <cell r="F523">
            <v>92670.13</v>
          </cell>
        </row>
        <row r="524">
          <cell r="A524" t="str">
            <v>13066-41009-00</v>
          </cell>
          <cell r="F524">
            <v>15686.12</v>
          </cell>
        </row>
        <row r="525">
          <cell r="A525" t="str">
            <v>13066-41029-00</v>
          </cell>
          <cell r="F525">
            <v>119339.67</v>
          </cell>
        </row>
        <row r="526">
          <cell r="A526" t="str">
            <v>13066-41030-00</v>
          </cell>
          <cell r="F526">
            <v>128153.12</v>
          </cell>
        </row>
        <row r="527">
          <cell r="A527" t="str">
            <v>13066-41031-00</v>
          </cell>
          <cell r="F527">
            <v>7007.61</v>
          </cell>
        </row>
        <row r="528">
          <cell r="A528" t="str">
            <v>13066-41032-00</v>
          </cell>
          <cell r="F528">
            <v>0</v>
          </cell>
        </row>
        <row r="529">
          <cell r="A529" t="str">
            <v>13066-41041-00</v>
          </cell>
          <cell r="F529">
            <v>53651</v>
          </cell>
        </row>
        <row r="530">
          <cell r="A530" t="str">
            <v>13066-41049-00</v>
          </cell>
          <cell r="F530">
            <v>62937.2</v>
          </cell>
        </row>
        <row r="531">
          <cell r="A531" t="str">
            <v>13070-00000-00</v>
          </cell>
          <cell r="F531">
            <v>0</v>
          </cell>
        </row>
        <row r="532">
          <cell r="A532" t="str">
            <v>13070-15001-00</v>
          </cell>
          <cell r="F532">
            <v>0</v>
          </cell>
        </row>
        <row r="533">
          <cell r="A533" t="str">
            <v>13080-00000-00</v>
          </cell>
          <cell r="F533">
            <v>0</v>
          </cell>
        </row>
        <row r="534">
          <cell r="A534" t="str">
            <v>13080-15001-00</v>
          </cell>
          <cell r="F534">
            <v>63535.66</v>
          </cell>
        </row>
        <row r="535">
          <cell r="A535" t="str">
            <v>13160-00000-00</v>
          </cell>
          <cell r="F535">
            <v>0</v>
          </cell>
        </row>
        <row r="536">
          <cell r="A536" t="str">
            <v>13160-31011-00</v>
          </cell>
          <cell r="F536">
            <v>5084.59</v>
          </cell>
        </row>
        <row r="537">
          <cell r="A537" t="str">
            <v>13160-31048-00</v>
          </cell>
          <cell r="F537">
            <v>0</v>
          </cell>
        </row>
        <row r="538">
          <cell r="A538" t="str">
            <v>13160-31900-00</v>
          </cell>
          <cell r="F538">
            <v>0</v>
          </cell>
        </row>
        <row r="539">
          <cell r="A539" t="str">
            <v>13160-31910-00</v>
          </cell>
          <cell r="F539">
            <v>0</v>
          </cell>
        </row>
        <row r="540">
          <cell r="A540" t="str">
            <v>13160-45001-00</v>
          </cell>
          <cell r="F540">
            <v>334757.65000000002</v>
          </cell>
        </row>
        <row r="541">
          <cell r="A541" t="str">
            <v>13160-45002-00</v>
          </cell>
          <cell r="F541">
            <v>1586315.5</v>
          </cell>
        </row>
        <row r="542">
          <cell r="A542" t="str">
            <v>13160-45003-00</v>
          </cell>
          <cell r="F542">
            <v>6154.56</v>
          </cell>
        </row>
        <row r="543">
          <cell r="A543" t="str">
            <v>13160-45005-00</v>
          </cell>
          <cell r="F543">
            <v>325002.81</v>
          </cell>
        </row>
        <row r="544">
          <cell r="A544" t="str">
            <v>13160-45009-00</v>
          </cell>
          <cell r="F544">
            <v>6869.92</v>
          </cell>
        </row>
        <row r="545">
          <cell r="A545" t="str">
            <v>13160-45029-00</v>
          </cell>
          <cell r="F545">
            <v>403595.78</v>
          </cell>
        </row>
        <row r="546">
          <cell r="A546" t="str">
            <v>13160-45030-00</v>
          </cell>
          <cell r="F546">
            <v>78539.600000000006</v>
          </cell>
        </row>
        <row r="547">
          <cell r="A547" t="str">
            <v>13160-45031-00</v>
          </cell>
          <cell r="F547">
            <v>49947.65</v>
          </cell>
        </row>
        <row r="548">
          <cell r="A548" t="str">
            <v>13160-45032-00</v>
          </cell>
          <cell r="F548">
            <v>10409.950000000001</v>
          </cell>
        </row>
        <row r="549">
          <cell r="A549" t="str">
            <v>13160-45052-00</v>
          </cell>
          <cell r="F549">
            <v>93155.78</v>
          </cell>
        </row>
        <row r="550">
          <cell r="A550" t="str">
            <v>13200-00000-00</v>
          </cell>
          <cell r="F550">
            <v>0</v>
          </cell>
        </row>
        <row r="551">
          <cell r="A551" t="str">
            <v>13200-61030-00</v>
          </cell>
          <cell r="F551">
            <v>166292.56</v>
          </cell>
        </row>
        <row r="552">
          <cell r="A552" t="str">
            <v>13200-61031-00</v>
          </cell>
          <cell r="F552">
            <v>496055.59</v>
          </cell>
        </row>
        <row r="553">
          <cell r="A553" t="str">
            <v>13220-00000-00</v>
          </cell>
          <cell r="F553">
            <v>0</v>
          </cell>
        </row>
        <row r="554">
          <cell r="A554" t="str">
            <v>13220-62030-00</v>
          </cell>
          <cell r="F554">
            <v>1863278.75</v>
          </cell>
        </row>
        <row r="555">
          <cell r="A555" t="str">
            <v>13220-62032-00</v>
          </cell>
          <cell r="F555">
            <v>124976.9</v>
          </cell>
        </row>
        <row r="556">
          <cell r="A556" t="str">
            <v>13310-00000-00</v>
          </cell>
          <cell r="F556">
            <v>0</v>
          </cell>
        </row>
        <row r="557">
          <cell r="A557" t="str">
            <v>13310-31000-00</v>
          </cell>
          <cell r="F557">
            <v>0</v>
          </cell>
        </row>
        <row r="558">
          <cell r="A558" t="str">
            <v>13310-31001-00</v>
          </cell>
          <cell r="F558">
            <v>0</v>
          </cell>
        </row>
        <row r="559">
          <cell r="A559" t="str">
            <v>13310-31900-00</v>
          </cell>
          <cell r="F559">
            <v>0</v>
          </cell>
        </row>
        <row r="560">
          <cell r="A560" t="str">
            <v>13310-31910-00</v>
          </cell>
          <cell r="F560">
            <v>0</v>
          </cell>
        </row>
        <row r="561">
          <cell r="A561" t="str">
            <v>13320-00000-00</v>
          </cell>
          <cell r="F561">
            <v>0</v>
          </cell>
        </row>
        <row r="562">
          <cell r="A562" t="str">
            <v>13320-15001-00</v>
          </cell>
          <cell r="F562">
            <v>0</v>
          </cell>
        </row>
        <row r="563">
          <cell r="A563" t="str">
            <v>13320-41001-00</v>
          </cell>
          <cell r="F563">
            <v>181136.52</v>
          </cell>
        </row>
        <row r="564">
          <cell r="A564" t="str">
            <v>13320-41002-00</v>
          </cell>
          <cell r="F564">
            <v>118424.32000000001</v>
          </cell>
        </row>
        <row r="565">
          <cell r="A565" t="str">
            <v>13320-41003-00</v>
          </cell>
          <cell r="F565">
            <v>30419.91</v>
          </cell>
        </row>
        <row r="566">
          <cell r="A566" t="str">
            <v>13320-41004-00</v>
          </cell>
          <cell r="F566">
            <v>34163.57</v>
          </cell>
        </row>
        <row r="567">
          <cell r="A567" t="str">
            <v>13320-41005-00</v>
          </cell>
          <cell r="F567">
            <v>39709.81</v>
          </cell>
        </row>
        <row r="568">
          <cell r="A568" t="str">
            <v>13320-41009-00</v>
          </cell>
          <cell r="F568">
            <v>6645.24</v>
          </cell>
        </row>
        <row r="569">
          <cell r="A569" t="str">
            <v>13320-41029-00</v>
          </cell>
          <cell r="F569">
            <v>79439.83</v>
          </cell>
        </row>
        <row r="570">
          <cell r="A570" t="str">
            <v>13320-41030-00</v>
          </cell>
          <cell r="F570">
            <v>123687.28</v>
          </cell>
        </row>
        <row r="571">
          <cell r="A571" t="str">
            <v>13320-41031-00</v>
          </cell>
          <cell r="F571">
            <v>2928.79</v>
          </cell>
        </row>
        <row r="572">
          <cell r="A572" t="str">
            <v>13320-41032-00</v>
          </cell>
          <cell r="F572">
            <v>0</v>
          </cell>
        </row>
        <row r="573">
          <cell r="A573" t="str">
            <v>13320-41041-00</v>
          </cell>
          <cell r="F573">
            <v>28863.200000000001</v>
          </cell>
        </row>
        <row r="574">
          <cell r="A574" t="str">
            <v>13320-41049-00</v>
          </cell>
          <cell r="F574">
            <v>131.94</v>
          </cell>
        </row>
        <row r="575">
          <cell r="A575" t="str">
            <v>13320-41052-00</v>
          </cell>
          <cell r="F575">
            <v>0</v>
          </cell>
        </row>
        <row r="576">
          <cell r="A576" t="str">
            <v>13320-43030-00</v>
          </cell>
          <cell r="F576">
            <v>9974.8700000000008</v>
          </cell>
        </row>
        <row r="577">
          <cell r="A577" t="str">
            <v>13320-43031-00</v>
          </cell>
          <cell r="F577">
            <v>8232.08</v>
          </cell>
        </row>
        <row r="578">
          <cell r="A578" t="str">
            <v>13320-43032-00</v>
          </cell>
          <cell r="F578">
            <v>0</v>
          </cell>
        </row>
        <row r="579">
          <cell r="A579" t="str">
            <v>13320-43041-00</v>
          </cell>
          <cell r="F579">
            <v>0</v>
          </cell>
        </row>
        <row r="580">
          <cell r="A580" t="str">
            <v>13320-45001-00</v>
          </cell>
          <cell r="F580">
            <v>26731.41</v>
          </cell>
        </row>
        <row r="581">
          <cell r="A581" t="str">
            <v>13320-45002-00</v>
          </cell>
          <cell r="F581">
            <v>159764.78</v>
          </cell>
        </row>
        <row r="582">
          <cell r="A582" t="str">
            <v>13320-45003-00</v>
          </cell>
          <cell r="F582">
            <v>0</v>
          </cell>
        </row>
        <row r="583">
          <cell r="A583" t="str">
            <v>13320-45005-00</v>
          </cell>
          <cell r="F583">
            <v>0</v>
          </cell>
        </row>
        <row r="584">
          <cell r="A584" t="str">
            <v>13320-45009-00</v>
          </cell>
          <cell r="F584">
            <v>0</v>
          </cell>
        </row>
        <row r="585">
          <cell r="A585" t="str">
            <v>13320-45029-00</v>
          </cell>
          <cell r="F585">
            <v>4990</v>
          </cell>
        </row>
        <row r="586">
          <cell r="A586" t="str">
            <v>13320-45030-00</v>
          </cell>
          <cell r="F586">
            <v>0</v>
          </cell>
        </row>
        <row r="587">
          <cell r="A587" t="str">
            <v>13320-45031-00</v>
          </cell>
          <cell r="F587">
            <v>0</v>
          </cell>
        </row>
        <row r="588">
          <cell r="A588" t="str">
            <v>13320-45032-00</v>
          </cell>
          <cell r="F588">
            <v>0</v>
          </cell>
        </row>
        <row r="589">
          <cell r="A589" t="str">
            <v>13320-45052-00</v>
          </cell>
          <cell r="F589">
            <v>0</v>
          </cell>
        </row>
        <row r="590">
          <cell r="A590" t="str">
            <v>13320-53001-00</v>
          </cell>
          <cell r="F590">
            <v>44381.760000000002</v>
          </cell>
        </row>
        <row r="591">
          <cell r="A591" t="str">
            <v>13320-53001-01</v>
          </cell>
          <cell r="F591">
            <v>0</v>
          </cell>
        </row>
        <row r="592">
          <cell r="A592" t="str">
            <v>13320-53001-02</v>
          </cell>
          <cell r="F592">
            <v>19751.41</v>
          </cell>
        </row>
        <row r="593">
          <cell r="A593" t="str">
            <v>13320-61030-00</v>
          </cell>
          <cell r="F593">
            <v>20097.27</v>
          </cell>
        </row>
        <row r="594">
          <cell r="A594" t="str">
            <v>13320-61031-00</v>
          </cell>
          <cell r="F594">
            <v>0</v>
          </cell>
        </row>
        <row r="595">
          <cell r="A595" t="str">
            <v>13320-62030-00</v>
          </cell>
          <cell r="F595">
            <v>20356.71</v>
          </cell>
        </row>
        <row r="596">
          <cell r="A596" t="str">
            <v>13320-62032-00</v>
          </cell>
          <cell r="F596">
            <v>0</v>
          </cell>
        </row>
        <row r="597">
          <cell r="A597" t="str">
            <v>13320-63030-00</v>
          </cell>
          <cell r="F597">
            <v>744921.76</v>
          </cell>
        </row>
        <row r="598">
          <cell r="A598" t="str">
            <v>13320-63032-00</v>
          </cell>
          <cell r="F598">
            <v>496167.54</v>
          </cell>
        </row>
        <row r="599">
          <cell r="A599" t="str">
            <v>13320-64032-00</v>
          </cell>
          <cell r="F599">
            <v>0</v>
          </cell>
        </row>
        <row r="600">
          <cell r="A600" t="str">
            <v>13330-00000-00</v>
          </cell>
          <cell r="F600">
            <v>0</v>
          </cell>
        </row>
        <row r="601">
          <cell r="A601" t="str">
            <v>14600-00000-00</v>
          </cell>
          <cell r="F601">
            <v>-44000</v>
          </cell>
        </row>
        <row r="602">
          <cell r="F602">
            <v>44429145.490000002</v>
          </cell>
        </row>
        <row r="603">
          <cell r="A603" t="str">
            <v>Fixed Assets</v>
          </cell>
        </row>
        <row r="604">
          <cell r="A604" t="str">
            <v>15010-00000-00</v>
          </cell>
          <cell r="F604">
            <v>0</v>
          </cell>
        </row>
        <row r="605">
          <cell r="A605" t="str">
            <v>15010-00000-03</v>
          </cell>
          <cell r="F605">
            <v>0</v>
          </cell>
        </row>
        <row r="606">
          <cell r="A606" t="str">
            <v>15010-00000-11</v>
          </cell>
          <cell r="F606">
            <v>0</v>
          </cell>
        </row>
        <row r="607">
          <cell r="A607" t="str">
            <v>15010-00000-12</v>
          </cell>
          <cell r="F607">
            <v>17152.32</v>
          </cell>
        </row>
        <row r="608">
          <cell r="A608" t="str">
            <v>15010-00000-13</v>
          </cell>
          <cell r="F608">
            <v>2532755.83</v>
          </cell>
        </row>
        <row r="609">
          <cell r="A609" t="str">
            <v>15010-00000-14</v>
          </cell>
          <cell r="F609">
            <v>64316.55</v>
          </cell>
        </row>
        <row r="610">
          <cell r="A610" t="str">
            <v>15010-00000-17</v>
          </cell>
          <cell r="F610">
            <v>0</v>
          </cell>
        </row>
        <row r="611">
          <cell r="A611" t="str">
            <v>15010-00000-18</v>
          </cell>
          <cell r="F611">
            <v>0</v>
          </cell>
        </row>
        <row r="612">
          <cell r="A612" t="str">
            <v>15010-00000-19</v>
          </cell>
          <cell r="F612">
            <v>0</v>
          </cell>
        </row>
        <row r="613">
          <cell r="A613" t="str">
            <v>15010-00000-20</v>
          </cell>
          <cell r="F613">
            <v>0</v>
          </cell>
        </row>
        <row r="614">
          <cell r="A614" t="str">
            <v>15010-00000-21</v>
          </cell>
          <cell r="F614">
            <v>4640</v>
          </cell>
        </row>
        <row r="615">
          <cell r="A615" t="str">
            <v>15010-00000-40</v>
          </cell>
          <cell r="F615">
            <v>80105.48</v>
          </cell>
        </row>
        <row r="616">
          <cell r="A616" t="str">
            <v>15020-00000-00</v>
          </cell>
          <cell r="F616">
            <v>9933500</v>
          </cell>
        </row>
        <row r="617">
          <cell r="A617" t="str">
            <v>15020-00000-30</v>
          </cell>
          <cell r="F617">
            <v>0</v>
          </cell>
        </row>
        <row r="618">
          <cell r="A618" t="str">
            <v>15030-00000-00</v>
          </cell>
          <cell r="F618">
            <v>133182.5</v>
          </cell>
        </row>
        <row r="619">
          <cell r="A619" t="str">
            <v>15040-00000-00</v>
          </cell>
          <cell r="F619">
            <v>4748696.17</v>
          </cell>
        </row>
        <row r="620">
          <cell r="A620" t="str">
            <v>15040-00000-30</v>
          </cell>
          <cell r="F620">
            <v>0</v>
          </cell>
        </row>
        <row r="621">
          <cell r="A621" t="str">
            <v>15050-00000-00</v>
          </cell>
          <cell r="F621">
            <v>1096479.99</v>
          </cell>
        </row>
        <row r="622">
          <cell r="A622" t="str">
            <v>15060-00000-00</v>
          </cell>
          <cell r="F622">
            <v>1527889.9199999999</v>
          </cell>
        </row>
        <row r="623">
          <cell r="A623" t="str">
            <v>15060-00000-30</v>
          </cell>
          <cell r="F623">
            <v>0</v>
          </cell>
        </row>
        <row r="624">
          <cell r="A624" t="str">
            <v>15070-00000-00</v>
          </cell>
          <cell r="F624">
            <v>30596476.440000001</v>
          </cell>
        </row>
        <row r="625">
          <cell r="A625" t="str">
            <v>15070-00000-30</v>
          </cell>
          <cell r="F625">
            <v>0</v>
          </cell>
        </row>
        <row r="626">
          <cell r="A626" t="str">
            <v>15080-00000-00</v>
          </cell>
          <cell r="F626">
            <v>3178932.75</v>
          </cell>
        </row>
        <row r="627">
          <cell r="A627" t="str">
            <v>15080-00000-30</v>
          </cell>
          <cell r="F627">
            <v>0</v>
          </cell>
        </row>
        <row r="628">
          <cell r="A628" t="str">
            <v>15080-00000-31</v>
          </cell>
          <cell r="F628">
            <v>0</v>
          </cell>
        </row>
        <row r="629">
          <cell r="A629" t="str">
            <v>15080-00000-32</v>
          </cell>
          <cell r="F629">
            <v>0</v>
          </cell>
        </row>
        <row r="630">
          <cell r="A630" t="str">
            <v>15090-00000-00</v>
          </cell>
          <cell r="F630">
            <v>4415324.32</v>
          </cell>
        </row>
        <row r="631">
          <cell r="A631" t="str">
            <v>15090-00000-30</v>
          </cell>
          <cell r="F631">
            <v>0</v>
          </cell>
        </row>
        <row r="632">
          <cell r="A632" t="str">
            <v>15110-00000-00</v>
          </cell>
          <cell r="F632">
            <v>674860.85</v>
          </cell>
        </row>
        <row r="633">
          <cell r="A633" t="str">
            <v>15130-00000-00</v>
          </cell>
          <cell r="F633">
            <v>16915743.440000001</v>
          </cell>
        </row>
        <row r="634">
          <cell r="A634" t="str">
            <v>15130-00000-30</v>
          </cell>
          <cell r="F634">
            <v>0</v>
          </cell>
        </row>
        <row r="635">
          <cell r="A635" t="str">
            <v>15140-00000-00</v>
          </cell>
          <cell r="F635">
            <v>217695.71</v>
          </cell>
        </row>
        <row r="636">
          <cell r="A636" t="str">
            <v>16030-00000-00</v>
          </cell>
          <cell r="F636">
            <v>-6716.71</v>
          </cell>
        </row>
        <row r="637">
          <cell r="A637" t="str">
            <v>16040-00000-00</v>
          </cell>
          <cell r="F637">
            <v>-1627193.36</v>
          </cell>
        </row>
        <row r="638">
          <cell r="A638" t="str">
            <v>16040-00000-30</v>
          </cell>
          <cell r="F638">
            <v>0</v>
          </cell>
        </row>
        <row r="639">
          <cell r="A639" t="str">
            <v>16050-00000-00</v>
          </cell>
          <cell r="F639">
            <v>-524946.91</v>
          </cell>
        </row>
        <row r="640">
          <cell r="A640" t="str">
            <v>16060-00000-00</v>
          </cell>
          <cell r="F640">
            <v>-951947.82</v>
          </cell>
        </row>
        <row r="641">
          <cell r="A641" t="str">
            <v>16060-00000-30</v>
          </cell>
          <cell r="F641">
            <v>0</v>
          </cell>
        </row>
        <row r="642">
          <cell r="A642" t="str">
            <v>16070-00000-00</v>
          </cell>
          <cell r="F642">
            <v>-15281515.52</v>
          </cell>
        </row>
        <row r="643">
          <cell r="A643" t="str">
            <v>16070-00000-30</v>
          </cell>
          <cell r="F643">
            <v>0</v>
          </cell>
        </row>
        <row r="644">
          <cell r="A644" t="str">
            <v>16080-00000-00</v>
          </cell>
          <cell r="F644">
            <v>-1482021.3</v>
          </cell>
        </row>
        <row r="645">
          <cell r="A645" t="str">
            <v>16080-00000-30</v>
          </cell>
          <cell r="F645">
            <v>0</v>
          </cell>
        </row>
        <row r="646">
          <cell r="A646" t="str">
            <v>16080-00000-31</v>
          </cell>
          <cell r="F646">
            <v>0</v>
          </cell>
        </row>
        <row r="647">
          <cell r="A647" t="str">
            <v>16080-00000-32</v>
          </cell>
          <cell r="F647">
            <v>0</v>
          </cell>
        </row>
        <row r="648">
          <cell r="A648" t="str">
            <v>16090-00000-00</v>
          </cell>
          <cell r="F648">
            <v>-2188995.37</v>
          </cell>
        </row>
        <row r="649">
          <cell r="A649" t="str">
            <v>16090-00000-30</v>
          </cell>
          <cell r="F649">
            <v>0</v>
          </cell>
        </row>
        <row r="650">
          <cell r="A650" t="str">
            <v>16110-00000-00</v>
          </cell>
          <cell r="F650">
            <v>-225549.7</v>
          </cell>
        </row>
        <row r="651">
          <cell r="A651" t="str">
            <v>16130-00000-00</v>
          </cell>
          <cell r="F651">
            <v>-3852001.21</v>
          </cell>
        </row>
        <row r="652">
          <cell r="A652" t="str">
            <v>16130-00000-30</v>
          </cell>
          <cell r="F652">
            <v>0</v>
          </cell>
        </row>
        <row r="653">
          <cell r="A653" t="str">
            <v>16140-00000-00</v>
          </cell>
          <cell r="F653">
            <v>-45614.42</v>
          </cell>
        </row>
        <row r="654">
          <cell r="F654">
            <v>49951249.950000003</v>
          </cell>
        </row>
        <row r="655">
          <cell r="A655" t="str">
            <v>Other Assets</v>
          </cell>
        </row>
        <row r="656">
          <cell r="A656" t="str">
            <v>17000-00000-00</v>
          </cell>
          <cell r="F656">
            <v>0</v>
          </cell>
        </row>
        <row r="657">
          <cell r="A657" t="str">
            <v>17000-00000-01</v>
          </cell>
          <cell r="F657">
            <v>0</v>
          </cell>
        </row>
        <row r="658">
          <cell r="A658" t="str">
            <v>17000-00000-02</v>
          </cell>
          <cell r="F658">
            <v>0</v>
          </cell>
        </row>
        <row r="659">
          <cell r="A659" t="str">
            <v>17000-00000-03</v>
          </cell>
          <cell r="F659">
            <v>0</v>
          </cell>
        </row>
        <row r="660">
          <cell r="A660" t="str">
            <v>17000-00000-04</v>
          </cell>
          <cell r="F660">
            <v>0</v>
          </cell>
        </row>
        <row r="661">
          <cell r="A661" t="str">
            <v>17000-00000-05</v>
          </cell>
          <cell r="F661">
            <v>0</v>
          </cell>
        </row>
        <row r="662">
          <cell r="A662" t="str">
            <v>17000-00000-06</v>
          </cell>
          <cell r="F662">
            <v>0</v>
          </cell>
        </row>
        <row r="663">
          <cell r="A663" t="str">
            <v>17000-00000-07</v>
          </cell>
          <cell r="F663">
            <v>0</v>
          </cell>
        </row>
        <row r="664">
          <cell r="A664" t="str">
            <v>17000-00000-08</v>
          </cell>
          <cell r="F664">
            <v>0</v>
          </cell>
        </row>
        <row r="665">
          <cell r="A665" t="str">
            <v>17000-00000-09</v>
          </cell>
          <cell r="F665">
            <v>0</v>
          </cell>
        </row>
        <row r="666">
          <cell r="A666" t="str">
            <v>17000-00000-10</v>
          </cell>
          <cell r="F666">
            <v>0</v>
          </cell>
        </row>
        <row r="667">
          <cell r="A667" t="str">
            <v>17000-00000-11</v>
          </cell>
          <cell r="F667">
            <v>0</v>
          </cell>
        </row>
        <row r="668">
          <cell r="A668" t="str">
            <v>17000-00000-12</v>
          </cell>
          <cell r="F668">
            <v>7300000</v>
          </cell>
        </row>
        <row r="669">
          <cell r="A669" t="str">
            <v>17000-00000-13</v>
          </cell>
          <cell r="F669">
            <v>0</v>
          </cell>
        </row>
        <row r="670">
          <cell r="A670" t="str">
            <v>17000-00000-14</v>
          </cell>
          <cell r="F670">
            <v>71496223.379999995</v>
          </cell>
        </row>
        <row r="671">
          <cell r="A671" t="str">
            <v>17000-00000-15</v>
          </cell>
          <cell r="F671">
            <v>300000</v>
          </cell>
        </row>
        <row r="672">
          <cell r="A672" t="str">
            <v>17000-00000-16</v>
          </cell>
          <cell r="F672">
            <v>229320</v>
          </cell>
        </row>
        <row r="673">
          <cell r="A673" t="str">
            <v>17000-00000-44</v>
          </cell>
          <cell r="F673">
            <v>0</v>
          </cell>
        </row>
        <row r="674">
          <cell r="A674" t="str">
            <v>17010-00000-00</v>
          </cell>
          <cell r="F674">
            <v>-27242502.309999999</v>
          </cell>
        </row>
        <row r="675">
          <cell r="A675" t="str">
            <v>17010-00000-12</v>
          </cell>
          <cell r="F675">
            <v>-2798333.21</v>
          </cell>
        </row>
        <row r="676">
          <cell r="A676" t="str">
            <v>17010-00000-15</v>
          </cell>
          <cell r="F676">
            <v>-115000</v>
          </cell>
        </row>
        <row r="677">
          <cell r="A677" t="str">
            <v>17010-00000-16</v>
          </cell>
          <cell r="F677">
            <v>-5733</v>
          </cell>
        </row>
        <row r="678">
          <cell r="A678" t="str">
            <v>17030-00000-00</v>
          </cell>
          <cell r="F678">
            <v>0</v>
          </cell>
        </row>
        <row r="679">
          <cell r="A679" t="str">
            <v>17030-00000-01</v>
          </cell>
          <cell r="F679">
            <v>0</v>
          </cell>
        </row>
        <row r="680">
          <cell r="A680" t="str">
            <v>17030-00000-02</v>
          </cell>
          <cell r="F680">
            <v>16876.939999999999</v>
          </cell>
        </row>
        <row r="681">
          <cell r="A681" t="str">
            <v>17030-00000-03</v>
          </cell>
          <cell r="F681">
            <v>0</v>
          </cell>
        </row>
        <row r="682">
          <cell r="A682" t="str">
            <v>17030-00000-04</v>
          </cell>
          <cell r="F682">
            <v>0</v>
          </cell>
        </row>
        <row r="683">
          <cell r="A683" t="str">
            <v>17030-00000-05</v>
          </cell>
          <cell r="F683">
            <v>0</v>
          </cell>
        </row>
        <row r="684">
          <cell r="A684" t="str">
            <v>17030-00000-06</v>
          </cell>
          <cell r="F684">
            <v>0</v>
          </cell>
        </row>
        <row r="685">
          <cell r="A685" t="str">
            <v>17030-00000-07</v>
          </cell>
          <cell r="F685">
            <v>0</v>
          </cell>
        </row>
        <row r="686">
          <cell r="A686" t="str">
            <v>17030-00000-08</v>
          </cell>
          <cell r="F686">
            <v>0</v>
          </cell>
        </row>
        <row r="687">
          <cell r="A687" t="str">
            <v>17030-00000-09</v>
          </cell>
          <cell r="F687">
            <v>0</v>
          </cell>
        </row>
        <row r="688">
          <cell r="A688" t="str">
            <v>17030-00000-10</v>
          </cell>
          <cell r="F688">
            <v>0</v>
          </cell>
        </row>
        <row r="689">
          <cell r="A689" t="str">
            <v>17030-00000-11</v>
          </cell>
          <cell r="F689">
            <v>0</v>
          </cell>
        </row>
        <row r="690">
          <cell r="A690" t="str">
            <v>17030-00000-12</v>
          </cell>
          <cell r="F690">
            <v>0</v>
          </cell>
        </row>
        <row r="691">
          <cell r="A691" t="str">
            <v>17030-00000-13</v>
          </cell>
          <cell r="F691">
            <v>0</v>
          </cell>
        </row>
        <row r="692">
          <cell r="A692" t="str">
            <v>17030-00000-14</v>
          </cell>
          <cell r="F692">
            <v>0</v>
          </cell>
        </row>
        <row r="693">
          <cell r="A693" t="str">
            <v>17030-00000-15</v>
          </cell>
          <cell r="F693">
            <v>0</v>
          </cell>
        </row>
        <row r="694">
          <cell r="A694" t="str">
            <v>17030-00000-16</v>
          </cell>
          <cell r="F694">
            <v>0</v>
          </cell>
        </row>
        <row r="695">
          <cell r="A695" t="str">
            <v>17030-00000-17</v>
          </cell>
          <cell r="F695">
            <v>0</v>
          </cell>
        </row>
        <row r="696">
          <cell r="A696" t="str">
            <v>17030-00000-18</v>
          </cell>
          <cell r="F696">
            <v>0</v>
          </cell>
        </row>
        <row r="697">
          <cell r="A697" t="str">
            <v>17030-00000-19</v>
          </cell>
          <cell r="F697">
            <v>0</v>
          </cell>
        </row>
        <row r="698">
          <cell r="A698" t="str">
            <v>17030-00000-20</v>
          </cell>
          <cell r="F698">
            <v>0</v>
          </cell>
        </row>
        <row r="699">
          <cell r="A699" t="str">
            <v>17030-00000-21</v>
          </cell>
          <cell r="F699">
            <v>0</v>
          </cell>
        </row>
        <row r="700">
          <cell r="A700" t="str">
            <v>17030-00000-22</v>
          </cell>
          <cell r="F700">
            <v>0</v>
          </cell>
        </row>
        <row r="701">
          <cell r="A701" t="str">
            <v>17030-00000-23</v>
          </cell>
          <cell r="F701">
            <v>0</v>
          </cell>
        </row>
        <row r="702">
          <cell r="A702" t="str">
            <v>17030-00000-24</v>
          </cell>
          <cell r="F702">
            <v>0</v>
          </cell>
        </row>
        <row r="703">
          <cell r="A703" t="str">
            <v>17030-00000-25</v>
          </cell>
          <cell r="F703">
            <v>0</v>
          </cell>
        </row>
        <row r="704">
          <cell r="A704" t="str">
            <v>17030-00000-26</v>
          </cell>
          <cell r="F704">
            <v>0</v>
          </cell>
        </row>
        <row r="705">
          <cell r="A705" t="str">
            <v>17030-00000-27</v>
          </cell>
          <cell r="F705">
            <v>0</v>
          </cell>
        </row>
        <row r="706">
          <cell r="A706" t="str">
            <v>17030-00000-28</v>
          </cell>
          <cell r="F706">
            <v>0</v>
          </cell>
        </row>
        <row r="707">
          <cell r="A707" t="str">
            <v>17030-00000-29</v>
          </cell>
          <cell r="F707">
            <v>0</v>
          </cell>
        </row>
        <row r="708">
          <cell r="A708" t="str">
            <v>17030-00000-30</v>
          </cell>
          <cell r="F708">
            <v>0</v>
          </cell>
        </row>
        <row r="709">
          <cell r="A709" t="str">
            <v>17030-00000-31</v>
          </cell>
          <cell r="F709">
            <v>0</v>
          </cell>
        </row>
        <row r="710">
          <cell r="A710" t="str">
            <v>17030-00000-32</v>
          </cell>
          <cell r="F710">
            <v>0</v>
          </cell>
        </row>
        <row r="711">
          <cell r="A711" t="str">
            <v>17030-00000-33</v>
          </cell>
          <cell r="F711">
            <v>0</v>
          </cell>
        </row>
        <row r="712">
          <cell r="A712" t="str">
            <v>17030-00000-34</v>
          </cell>
          <cell r="F712">
            <v>0</v>
          </cell>
        </row>
        <row r="713">
          <cell r="A713" t="str">
            <v>17030-00000-35</v>
          </cell>
          <cell r="F713">
            <v>0</v>
          </cell>
        </row>
        <row r="714">
          <cell r="A714" t="str">
            <v>17030-00000-36</v>
          </cell>
          <cell r="F714">
            <v>0</v>
          </cell>
        </row>
        <row r="715">
          <cell r="A715" t="str">
            <v>17030-00000-37</v>
          </cell>
          <cell r="F715">
            <v>0</v>
          </cell>
        </row>
        <row r="716">
          <cell r="A716" t="str">
            <v>17030-00000-38</v>
          </cell>
          <cell r="F716">
            <v>0</v>
          </cell>
        </row>
        <row r="717">
          <cell r="A717" t="str">
            <v>17030-00000-39</v>
          </cell>
          <cell r="F717">
            <v>0</v>
          </cell>
        </row>
        <row r="718">
          <cell r="A718" t="str">
            <v>17030-00000-40</v>
          </cell>
          <cell r="F718">
            <v>0</v>
          </cell>
        </row>
        <row r="719">
          <cell r="A719" t="str">
            <v>17030-00000-41</v>
          </cell>
          <cell r="F719">
            <v>0</v>
          </cell>
        </row>
        <row r="720">
          <cell r="A720" t="str">
            <v>17030-00000-42</v>
          </cell>
          <cell r="F720">
            <v>0</v>
          </cell>
        </row>
        <row r="721">
          <cell r="A721" t="str">
            <v>17030-00000-43</v>
          </cell>
          <cell r="F721">
            <v>0</v>
          </cell>
        </row>
        <row r="722">
          <cell r="A722" t="str">
            <v>17030-00000-44</v>
          </cell>
          <cell r="F722">
            <v>0</v>
          </cell>
        </row>
        <row r="723">
          <cell r="A723" t="str">
            <v>17030-00000-45</v>
          </cell>
          <cell r="F723">
            <v>0</v>
          </cell>
        </row>
        <row r="724">
          <cell r="A724" t="str">
            <v>17030-00000-46</v>
          </cell>
          <cell r="F724">
            <v>0</v>
          </cell>
        </row>
        <row r="725">
          <cell r="A725" t="str">
            <v>17030-00000-47</v>
          </cell>
          <cell r="F725">
            <v>0</v>
          </cell>
        </row>
        <row r="726">
          <cell r="A726" t="str">
            <v>17030-00000-48</v>
          </cell>
          <cell r="F726">
            <v>0</v>
          </cell>
        </row>
        <row r="727">
          <cell r="A727" t="str">
            <v>17030-00000-49</v>
          </cell>
          <cell r="F727">
            <v>0</v>
          </cell>
        </row>
        <row r="728">
          <cell r="A728" t="str">
            <v>17030-00000-50</v>
          </cell>
          <cell r="F728">
            <v>0</v>
          </cell>
        </row>
        <row r="729">
          <cell r="A729" t="str">
            <v>17030-00000-51</v>
          </cell>
          <cell r="F729">
            <v>0</v>
          </cell>
        </row>
        <row r="730">
          <cell r="A730" t="str">
            <v>17030-00000-52</v>
          </cell>
          <cell r="F730">
            <v>0</v>
          </cell>
        </row>
        <row r="731">
          <cell r="A731" t="str">
            <v>17030-00000-53</v>
          </cell>
          <cell r="F731">
            <v>9632.92</v>
          </cell>
        </row>
        <row r="732">
          <cell r="A732" t="str">
            <v>17030-00000-54</v>
          </cell>
          <cell r="F732">
            <v>0</v>
          </cell>
        </row>
        <row r="733">
          <cell r="A733" t="str">
            <v>17030-00000-55</v>
          </cell>
          <cell r="F733">
            <v>12555</v>
          </cell>
        </row>
        <row r="734">
          <cell r="A734" t="str">
            <v>17030-00000-56</v>
          </cell>
          <cell r="F734">
            <v>13560.91</v>
          </cell>
        </row>
        <row r="735">
          <cell r="A735" t="str">
            <v>17030-00000-57</v>
          </cell>
          <cell r="F735">
            <v>0</v>
          </cell>
        </row>
        <row r="736">
          <cell r="A736" t="str">
            <v>17030-00000-58</v>
          </cell>
          <cell r="F736">
            <v>10769.13</v>
          </cell>
        </row>
        <row r="737">
          <cell r="A737" t="str">
            <v>17030-00000-59</v>
          </cell>
          <cell r="F737">
            <v>0</v>
          </cell>
        </row>
        <row r="738">
          <cell r="A738" t="str">
            <v>17030-00000-60</v>
          </cell>
          <cell r="F738">
            <v>0</v>
          </cell>
        </row>
        <row r="739">
          <cell r="A739" t="str">
            <v>17030-00000-61</v>
          </cell>
          <cell r="F739">
            <v>10025.82</v>
          </cell>
        </row>
        <row r="740">
          <cell r="A740" t="str">
            <v>17030-00000-62</v>
          </cell>
          <cell r="F740">
            <v>256411.8</v>
          </cell>
        </row>
        <row r="741">
          <cell r="A741" t="str">
            <v>17030-00000-63</v>
          </cell>
          <cell r="F741">
            <v>38596.25</v>
          </cell>
        </row>
        <row r="742">
          <cell r="A742" t="str">
            <v>17030-00000-64</v>
          </cell>
          <cell r="F742">
            <v>806666.67</v>
          </cell>
        </row>
        <row r="743">
          <cell r="A743" t="str">
            <v>17050-00000-00</v>
          </cell>
          <cell r="F743">
            <v>0</v>
          </cell>
        </row>
        <row r="744">
          <cell r="A744" t="str">
            <v>17051-00000-00</v>
          </cell>
          <cell r="F744">
            <v>0</v>
          </cell>
        </row>
        <row r="745">
          <cell r="A745" t="str">
            <v>17051-00000-01</v>
          </cell>
          <cell r="F745">
            <v>0</v>
          </cell>
        </row>
        <row r="746">
          <cell r="A746" t="str">
            <v>17051-00000-02</v>
          </cell>
          <cell r="F746">
            <v>0</v>
          </cell>
        </row>
        <row r="747">
          <cell r="A747" t="str">
            <v>17051-00000-03</v>
          </cell>
          <cell r="F747">
            <v>26200.080000000002</v>
          </cell>
        </row>
        <row r="748">
          <cell r="A748" t="str">
            <v>17051-00000-04</v>
          </cell>
          <cell r="F748">
            <v>0</v>
          </cell>
        </row>
        <row r="749">
          <cell r="A749" t="str">
            <v>17051-00000-05</v>
          </cell>
          <cell r="F749">
            <v>0</v>
          </cell>
        </row>
        <row r="750">
          <cell r="A750" t="str">
            <v>17051-00000-06</v>
          </cell>
          <cell r="F750">
            <v>0</v>
          </cell>
        </row>
        <row r="751">
          <cell r="A751" t="str">
            <v>17051-00000-07</v>
          </cell>
          <cell r="F751">
            <v>0</v>
          </cell>
        </row>
        <row r="752">
          <cell r="A752" t="str">
            <v>17051-00000-08</v>
          </cell>
          <cell r="F752">
            <v>0</v>
          </cell>
        </row>
        <row r="753">
          <cell r="A753" t="str">
            <v>17051-00000-09</v>
          </cell>
          <cell r="F753">
            <v>0</v>
          </cell>
        </row>
        <row r="754">
          <cell r="A754" t="str">
            <v>17051-00000-10</v>
          </cell>
          <cell r="F754">
            <v>28387.14</v>
          </cell>
        </row>
        <row r="755">
          <cell r="A755" t="str">
            <v>17051-00000-11</v>
          </cell>
          <cell r="F755">
            <v>0</v>
          </cell>
        </row>
        <row r="756">
          <cell r="A756" t="str">
            <v>17051-00000-12</v>
          </cell>
          <cell r="F756">
            <v>0</v>
          </cell>
        </row>
        <row r="757">
          <cell r="A757" t="str">
            <v>17051-00000-13</v>
          </cell>
          <cell r="F757">
            <v>0</v>
          </cell>
        </row>
        <row r="758">
          <cell r="A758" t="str">
            <v>17051-00000-14</v>
          </cell>
          <cell r="F758">
            <v>0</v>
          </cell>
        </row>
        <row r="759">
          <cell r="A759" t="str">
            <v>17051-00000-15</v>
          </cell>
          <cell r="F759">
            <v>0</v>
          </cell>
        </row>
        <row r="760">
          <cell r="A760" t="str">
            <v>17051-00000-16</v>
          </cell>
          <cell r="F760">
            <v>0</v>
          </cell>
        </row>
        <row r="761">
          <cell r="A761" t="str">
            <v>17051-00000-17</v>
          </cell>
          <cell r="F761">
            <v>0</v>
          </cell>
        </row>
        <row r="762">
          <cell r="A762" t="str">
            <v>17051-00000-18</v>
          </cell>
          <cell r="F762">
            <v>0</v>
          </cell>
        </row>
        <row r="763">
          <cell r="A763" t="str">
            <v>17051-00000-19</v>
          </cell>
          <cell r="F763">
            <v>0</v>
          </cell>
        </row>
        <row r="764">
          <cell r="A764" t="str">
            <v>17051-00000-20</v>
          </cell>
          <cell r="F764">
            <v>0</v>
          </cell>
        </row>
        <row r="765">
          <cell r="A765" t="str">
            <v>17051-00000-21</v>
          </cell>
          <cell r="F765">
            <v>34491.15</v>
          </cell>
        </row>
        <row r="766">
          <cell r="A766" t="str">
            <v>17051-00000-22</v>
          </cell>
          <cell r="F766">
            <v>0</v>
          </cell>
        </row>
        <row r="767">
          <cell r="A767" t="str">
            <v>17051-00000-23</v>
          </cell>
          <cell r="F767">
            <v>14271.79</v>
          </cell>
        </row>
        <row r="768">
          <cell r="A768" t="str">
            <v>17051-00000-24</v>
          </cell>
          <cell r="F768">
            <v>28056.36</v>
          </cell>
        </row>
        <row r="769">
          <cell r="A769" t="str">
            <v>17051-00000-25</v>
          </cell>
          <cell r="F769">
            <v>14582.38</v>
          </cell>
        </row>
        <row r="770">
          <cell r="A770" t="str">
            <v>17051-00000-26</v>
          </cell>
          <cell r="F770">
            <v>0</v>
          </cell>
        </row>
        <row r="771">
          <cell r="A771" t="str">
            <v>17051-00000-27</v>
          </cell>
          <cell r="F771">
            <v>253817.42</v>
          </cell>
        </row>
        <row r="772">
          <cell r="A772" t="str">
            <v>17051-00000-28</v>
          </cell>
          <cell r="F772">
            <v>0</v>
          </cell>
        </row>
        <row r="773">
          <cell r="A773" t="str">
            <v>17053-00000-00</v>
          </cell>
          <cell r="F773">
            <v>2502.3000000000002</v>
          </cell>
        </row>
        <row r="774">
          <cell r="A774" t="str">
            <v>17053-00000-01</v>
          </cell>
          <cell r="F774">
            <v>0</v>
          </cell>
        </row>
        <row r="775">
          <cell r="A775" t="str">
            <v>17053-00000-02</v>
          </cell>
          <cell r="F775">
            <v>0</v>
          </cell>
        </row>
        <row r="776">
          <cell r="A776" t="str">
            <v>17053-00000-03</v>
          </cell>
          <cell r="F776">
            <v>0</v>
          </cell>
        </row>
        <row r="777">
          <cell r="A777" t="str">
            <v>17053-00000-04</v>
          </cell>
          <cell r="F777">
            <v>0</v>
          </cell>
        </row>
        <row r="778">
          <cell r="A778" t="str">
            <v>17053-00000-05</v>
          </cell>
          <cell r="F778">
            <v>0</v>
          </cell>
        </row>
        <row r="779">
          <cell r="A779" t="str">
            <v>17053-00000-06</v>
          </cell>
          <cell r="F779">
            <v>0</v>
          </cell>
        </row>
        <row r="780">
          <cell r="A780" t="str">
            <v>17053-00000-07</v>
          </cell>
          <cell r="F780">
            <v>0</v>
          </cell>
        </row>
        <row r="781">
          <cell r="A781" t="str">
            <v>17053-00000-08</v>
          </cell>
          <cell r="F781">
            <v>0</v>
          </cell>
        </row>
        <row r="782">
          <cell r="A782" t="str">
            <v>17053-00000-09</v>
          </cell>
          <cell r="F782">
            <v>0</v>
          </cell>
        </row>
        <row r="783">
          <cell r="A783" t="str">
            <v>17053-00000-10</v>
          </cell>
          <cell r="F783">
            <v>0</v>
          </cell>
        </row>
        <row r="784">
          <cell r="A784" t="str">
            <v>17053-00000-11</v>
          </cell>
          <cell r="F784">
            <v>0</v>
          </cell>
        </row>
        <row r="785">
          <cell r="A785" t="str">
            <v>17053-00000-12</v>
          </cell>
          <cell r="F785">
            <v>0</v>
          </cell>
        </row>
        <row r="786">
          <cell r="A786" t="str">
            <v>17053-00000-13</v>
          </cell>
          <cell r="F786">
            <v>0</v>
          </cell>
        </row>
        <row r="787">
          <cell r="A787" t="str">
            <v>17053-00000-14</v>
          </cell>
          <cell r="F787">
            <v>0</v>
          </cell>
        </row>
        <row r="788">
          <cell r="A788" t="str">
            <v>17053-00000-15</v>
          </cell>
          <cell r="F788">
            <v>0</v>
          </cell>
        </row>
        <row r="789">
          <cell r="A789" t="str">
            <v>17053-00000-16</v>
          </cell>
          <cell r="F789">
            <v>0</v>
          </cell>
        </row>
        <row r="790">
          <cell r="A790" t="str">
            <v>17053-00000-17</v>
          </cell>
          <cell r="F790">
            <v>0</v>
          </cell>
        </row>
        <row r="791">
          <cell r="A791" t="str">
            <v>17053-00000-18</v>
          </cell>
          <cell r="F791">
            <v>18141.560000000001</v>
          </cell>
        </row>
        <row r="792">
          <cell r="A792" t="str">
            <v>17053-00000-19</v>
          </cell>
          <cell r="F792">
            <v>97778.92</v>
          </cell>
        </row>
        <row r="793">
          <cell r="A793" t="str">
            <v>17053-00000-20</v>
          </cell>
          <cell r="F793">
            <v>0</v>
          </cell>
        </row>
        <row r="794">
          <cell r="A794" t="str">
            <v>17053-00000-21</v>
          </cell>
          <cell r="F794">
            <v>0</v>
          </cell>
        </row>
        <row r="795">
          <cell r="A795" t="str">
            <v>17053-00000-22</v>
          </cell>
          <cell r="F795">
            <v>0</v>
          </cell>
        </row>
        <row r="796">
          <cell r="A796" t="str">
            <v>17053-00000-23</v>
          </cell>
          <cell r="F796">
            <v>0</v>
          </cell>
        </row>
        <row r="797">
          <cell r="A797" t="str">
            <v>17053-00000-24</v>
          </cell>
          <cell r="F797">
            <v>0</v>
          </cell>
        </row>
        <row r="798">
          <cell r="A798" t="str">
            <v>17053-00000-25</v>
          </cell>
          <cell r="F798">
            <v>0</v>
          </cell>
        </row>
        <row r="799">
          <cell r="A799" t="str">
            <v>17053-00000-26</v>
          </cell>
          <cell r="F799">
            <v>27426.46</v>
          </cell>
        </row>
        <row r="800">
          <cell r="A800" t="str">
            <v>17053-00000-27</v>
          </cell>
          <cell r="F800">
            <v>0</v>
          </cell>
        </row>
        <row r="801">
          <cell r="A801" t="str">
            <v>17053-00000-28</v>
          </cell>
          <cell r="F801">
            <v>0</v>
          </cell>
        </row>
        <row r="802">
          <cell r="A802" t="str">
            <v>17053-00000-29</v>
          </cell>
          <cell r="F802">
            <v>0</v>
          </cell>
        </row>
        <row r="803">
          <cell r="A803" t="str">
            <v>17053-00000-30</v>
          </cell>
          <cell r="F803">
            <v>25734.37</v>
          </cell>
        </row>
        <row r="804">
          <cell r="A804" t="str">
            <v>17053-00000-31</v>
          </cell>
          <cell r="F804">
            <v>0</v>
          </cell>
        </row>
        <row r="805">
          <cell r="A805" t="str">
            <v>17053-00000-32</v>
          </cell>
          <cell r="F805">
            <v>0</v>
          </cell>
        </row>
        <row r="806">
          <cell r="A806" t="str">
            <v>17053-00000-33</v>
          </cell>
          <cell r="F806">
            <v>0</v>
          </cell>
        </row>
        <row r="807">
          <cell r="A807" t="str">
            <v>17053-00000-34</v>
          </cell>
          <cell r="F807">
            <v>0</v>
          </cell>
        </row>
        <row r="808">
          <cell r="A808" t="str">
            <v>17053-00000-35</v>
          </cell>
          <cell r="F808">
            <v>0</v>
          </cell>
        </row>
        <row r="809">
          <cell r="A809" t="str">
            <v>17053-00000-36</v>
          </cell>
          <cell r="F809">
            <v>4938.34</v>
          </cell>
        </row>
        <row r="810">
          <cell r="A810" t="str">
            <v>17053-00000-37</v>
          </cell>
          <cell r="F810">
            <v>0</v>
          </cell>
        </row>
        <row r="811">
          <cell r="A811" t="str">
            <v>17053-00000-38</v>
          </cell>
          <cell r="F811">
            <v>0</v>
          </cell>
        </row>
        <row r="812">
          <cell r="A812" t="str">
            <v>17053-00000-39</v>
          </cell>
          <cell r="F812">
            <v>0</v>
          </cell>
        </row>
        <row r="813">
          <cell r="A813" t="str">
            <v>17053-00000-40</v>
          </cell>
          <cell r="F813">
            <v>0</v>
          </cell>
        </row>
        <row r="814">
          <cell r="A814" t="str">
            <v>17053-00000-41</v>
          </cell>
          <cell r="F814">
            <v>0</v>
          </cell>
        </row>
        <row r="815">
          <cell r="A815" t="str">
            <v>17053-00000-42</v>
          </cell>
          <cell r="F815">
            <v>0</v>
          </cell>
        </row>
        <row r="816">
          <cell r="A816" t="str">
            <v>17053-00000-43</v>
          </cell>
          <cell r="F816">
            <v>0</v>
          </cell>
        </row>
        <row r="817">
          <cell r="A817" t="str">
            <v>17053-00000-44</v>
          </cell>
          <cell r="F817">
            <v>0</v>
          </cell>
        </row>
        <row r="818">
          <cell r="A818" t="str">
            <v>17053-00000-45</v>
          </cell>
          <cell r="F818">
            <v>0</v>
          </cell>
        </row>
        <row r="819">
          <cell r="A819" t="str">
            <v>17053-00000-46</v>
          </cell>
          <cell r="F819">
            <v>0</v>
          </cell>
        </row>
        <row r="820">
          <cell r="A820" t="str">
            <v>17053-00000-47</v>
          </cell>
          <cell r="F820">
            <v>0</v>
          </cell>
        </row>
        <row r="821">
          <cell r="A821" t="str">
            <v>17053-00000-48</v>
          </cell>
          <cell r="F821">
            <v>0</v>
          </cell>
        </row>
        <row r="822">
          <cell r="A822" t="str">
            <v>17053-00000-49</v>
          </cell>
          <cell r="F822">
            <v>0</v>
          </cell>
        </row>
        <row r="823">
          <cell r="A823" t="str">
            <v>17053-00000-50</v>
          </cell>
          <cell r="F823">
            <v>0</v>
          </cell>
        </row>
        <row r="824">
          <cell r="A824" t="str">
            <v>17053-00000-51</v>
          </cell>
          <cell r="F824">
            <v>0</v>
          </cell>
        </row>
        <row r="825">
          <cell r="A825" t="str">
            <v>17053-00000-52</v>
          </cell>
          <cell r="F825">
            <v>0</v>
          </cell>
        </row>
        <row r="826">
          <cell r="A826" t="str">
            <v>17053-00000-53</v>
          </cell>
          <cell r="F826">
            <v>2201.29</v>
          </cell>
        </row>
        <row r="827">
          <cell r="A827" t="str">
            <v>17053-00000-54</v>
          </cell>
          <cell r="F827">
            <v>0</v>
          </cell>
        </row>
        <row r="828">
          <cell r="A828" t="str">
            <v>17053-00000-55</v>
          </cell>
          <cell r="F828">
            <v>0</v>
          </cell>
        </row>
        <row r="829">
          <cell r="A829" t="str">
            <v>17053-00000-56</v>
          </cell>
          <cell r="F829">
            <v>0</v>
          </cell>
        </row>
        <row r="830">
          <cell r="A830" t="str">
            <v>17053-00000-57</v>
          </cell>
          <cell r="F830">
            <v>0</v>
          </cell>
        </row>
        <row r="831">
          <cell r="A831" t="str">
            <v>17053-00000-58</v>
          </cell>
          <cell r="F831">
            <v>0</v>
          </cell>
        </row>
        <row r="832">
          <cell r="A832" t="str">
            <v>17053-00000-59</v>
          </cell>
          <cell r="F832">
            <v>0</v>
          </cell>
        </row>
        <row r="833">
          <cell r="A833" t="str">
            <v>17053-00000-60</v>
          </cell>
          <cell r="F833">
            <v>0</v>
          </cell>
        </row>
        <row r="834">
          <cell r="A834" t="str">
            <v>17053-00000-61</v>
          </cell>
          <cell r="F834">
            <v>0</v>
          </cell>
        </row>
        <row r="835">
          <cell r="A835" t="str">
            <v>17053-00000-62</v>
          </cell>
          <cell r="F835">
            <v>0</v>
          </cell>
        </row>
        <row r="836">
          <cell r="A836" t="str">
            <v>17053-00000-63</v>
          </cell>
          <cell r="F836">
            <v>19543.75</v>
          </cell>
        </row>
        <row r="837">
          <cell r="A837" t="str">
            <v>17053-00000-64</v>
          </cell>
          <cell r="F837">
            <v>0</v>
          </cell>
        </row>
        <row r="838">
          <cell r="A838" t="str">
            <v>17053-00000-65</v>
          </cell>
          <cell r="F838">
            <v>0</v>
          </cell>
        </row>
        <row r="839">
          <cell r="A839" t="str">
            <v>17053-00000-66</v>
          </cell>
          <cell r="F839">
            <v>0</v>
          </cell>
        </row>
        <row r="840">
          <cell r="A840" t="str">
            <v>17053-00000-67</v>
          </cell>
          <cell r="F840">
            <v>0</v>
          </cell>
        </row>
        <row r="841">
          <cell r="A841" t="str">
            <v>17053-00000-68</v>
          </cell>
          <cell r="F841">
            <v>90000</v>
          </cell>
        </row>
        <row r="842">
          <cell r="A842" t="str">
            <v>17053-00000-69</v>
          </cell>
          <cell r="F842">
            <v>0</v>
          </cell>
        </row>
        <row r="843">
          <cell r="A843" t="str">
            <v>17053-00000-70</v>
          </cell>
          <cell r="F843">
            <v>3956.04</v>
          </cell>
        </row>
        <row r="844">
          <cell r="A844" t="str">
            <v>17053-00000-71</v>
          </cell>
          <cell r="F844">
            <v>17691.259999999998</v>
          </cell>
        </row>
        <row r="845">
          <cell r="A845" t="str">
            <v>17053-00000-72</v>
          </cell>
          <cell r="F845">
            <v>0</v>
          </cell>
        </row>
        <row r="846">
          <cell r="A846" t="str">
            <v>17053-00000-73</v>
          </cell>
          <cell r="F846">
            <v>0</v>
          </cell>
        </row>
        <row r="847">
          <cell r="A847" t="str">
            <v>17053-00000-74</v>
          </cell>
          <cell r="F847">
            <v>0</v>
          </cell>
        </row>
        <row r="848">
          <cell r="A848" t="str">
            <v>17053-00000-75</v>
          </cell>
          <cell r="F848">
            <v>0</v>
          </cell>
        </row>
        <row r="849">
          <cell r="A849" t="str">
            <v>17053-00000-76</v>
          </cell>
          <cell r="F849">
            <v>0</v>
          </cell>
        </row>
        <row r="850">
          <cell r="A850" t="str">
            <v>17053-00000-77</v>
          </cell>
          <cell r="F850">
            <v>0</v>
          </cell>
        </row>
        <row r="851">
          <cell r="A851" t="str">
            <v>17053-00000-78</v>
          </cell>
          <cell r="F851">
            <v>0</v>
          </cell>
        </row>
        <row r="852">
          <cell r="A852" t="str">
            <v>17053-00000-79</v>
          </cell>
          <cell r="F852">
            <v>225000</v>
          </cell>
        </row>
        <row r="853">
          <cell r="A853" t="str">
            <v>17053-00000-80</v>
          </cell>
          <cell r="F853">
            <v>0</v>
          </cell>
        </row>
        <row r="854">
          <cell r="A854" t="str">
            <v>17053-00000-81</v>
          </cell>
          <cell r="F854">
            <v>0</v>
          </cell>
        </row>
        <row r="855">
          <cell r="A855" t="str">
            <v>17053-00000-82</v>
          </cell>
          <cell r="F855">
            <v>1985.97</v>
          </cell>
        </row>
        <row r="856">
          <cell r="A856" t="str">
            <v>17054-00000-01</v>
          </cell>
          <cell r="F856">
            <v>0</v>
          </cell>
        </row>
        <row r="857">
          <cell r="A857" t="str">
            <v>17055-00000-00</v>
          </cell>
          <cell r="F857">
            <v>0</v>
          </cell>
        </row>
        <row r="858">
          <cell r="A858" t="str">
            <v>17055-00000-01</v>
          </cell>
          <cell r="F858">
            <v>0</v>
          </cell>
        </row>
        <row r="859">
          <cell r="A859" t="str">
            <v>17055-00000-02</v>
          </cell>
          <cell r="F859">
            <v>0</v>
          </cell>
        </row>
        <row r="860">
          <cell r="A860" t="str">
            <v>17055-00000-03</v>
          </cell>
          <cell r="F860">
            <v>0</v>
          </cell>
        </row>
        <row r="861">
          <cell r="A861" t="str">
            <v>17055-00000-04</v>
          </cell>
          <cell r="F861">
            <v>0</v>
          </cell>
        </row>
        <row r="862">
          <cell r="A862" t="str">
            <v>17055-00000-05</v>
          </cell>
          <cell r="F862">
            <v>5280.14</v>
          </cell>
        </row>
        <row r="863">
          <cell r="A863" t="str">
            <v>17055-00000-06</v>
          </cell>
          <cell r="F863">
            <v>0</v>
          </cell>
        </row>
        <row r="864">
          <cell r="A864" t="str">
            <v>17055-00000-07</v>
          </cell>
          <cell r="F864">
            <v>0</v>
          </cell>
        </row>
        <row r="865">
          <cell r="A865" t="str">
            <v>17055-00000-08</v>
          </cell>
          <cell r="F865">
            <v>0</v>
          </cell>
        </row>
        <row r="866">
          <cell r="A866" t="str">
            <v>17055-00000-09</v>
          </cell>
          <cell r="F866">
            <v>0</v>
          </cell>
        </row>
        <row r="867">
          <cell r="A867" t="str">
            <v>17055-00000-10</v>
          </cell>
          <cell r="F867">
            <v>0</v>
          </cell>
        </row>
        <row r="868">
          <cell r="A868" t="str">
            <v>17055-00000-11</v>
          </cell>
          <cell r="F868">
            <v>0</v>
          </cell>
        </row>
        <row r="869">
          <cell r="A869" t="str">
            <v>17055-00000-12</v>
          </cell>
          <cell r="F869">
            <v>0</v>
          </cell>
        </row>
        <row r="870">
          <cell r="A870" t="str">
            <v>17055-00000-13</v>
          </cell>
          <cell r="F870">
            <v>0</v>
          </cell>
        </row>
        <row r="871">
          <cell r="A871" t="str">
            <v>17055-00000-14</v>
          </cell>
          <cell r="F871">
            <v>0</v>
          </cell>
        </row>
        <row r="872">
          <cell r="A872" t="str">
            <v>17055-00000-15</v>
          </cell>
          <cell r="F872">
            <v>0</v>
          </cell>
        </row>
        <row r="873">
          <cell r="A873" t="str">
            <v>17055-00000-16</v>
          </cell>
          <cell r="F873">
            <v>0</v>
          </cell>
        </row>
        <row r="874">
          <cell r="A874" t="str">
            <v>17055-00000-17</v>
          </cell>
          <cell r="F874">
            <v>0</v>
          </cell>
        </row>
        <row r="875">
          <cell r="A875" t="str">
            <v>17055-00000-18</v>
          </cell>
          <cell r="F875">
            <v>0</v>
          </cell>
        </row>
        <row r="876">
          <cell r="A876" t="str">
            <v>17055-00000-19</v>
          </cell>
          <cell r="F876">
            <v>0</v>
          </cell>
        </row>
        <row r="877">
          <cell r="A877" t="str">
            <v>17055-00000-20</v>
          </cell>
          <cell r="F877">
            <v>0</v>
          </cell>
        </row>
        <row r="878">
          <cell r="A878" t="str">
            <v>17055-00000-21</v>
          </cell>
          <cell r="F878">
            <v>0</v>
          </cell>
        </row>
        <row r="879">
          <cell r="A879" t="str">
            <v>17055-00000-22</v>
          </cell>
          <cell r="F879">
            <v>0</v>
          </cell>
        </row>
        <row r="880">
          <cell r="A880" t="str">
            <v>17055-00000-23</v>
          </cell>
          <cell r="F880">
            <v>0</v>
          </cell>
        </row>
        <row r="881">
          <cell r="A881" t="str">
            <v>17055-00000-24</v>
          </cell>
          <cell r="F881">
            <v>0</v>
          </cell>
        </row>
        <row r="882">
          <cell r="A882" t="str">
            <v>17055-00000-25</v>
          </cell>
          <cell r="F882">
            <v>0</v>
          </cell>
        </row>
        <row r="883">
          <cell r="A883" t="str">
            <v>17055-00000-26</v>
          </cell>
          <cell r="F883">
            <v>0</v>
          </cell>
        </row>
        <row r="884">
          <cell r="A884" t="str">
            <v>17055-00000-27</v>
          </cell>
          <cell r="F884">
            <v>0</v>
          </cell>
        </row>
        <row r="885">
          <cell r="A885" t="str">
            <v>17055-00000-28</v>
          </cell>
          <cell r="F885">
            <v>0</v>
          </cell>
        </row>
        <row r="886">
          <cell r="A886" t="str">
            <v>17055-00000-29</v>
          </cell>
          <cell r="F886">
            <v>0</v>
          </cell>
        </row>
        <row r="887">
          <cell r="A887" t="str">
            <v>17055-00000-30</v>
          </cell>
          <cell r="F887">
            <v>0</v>
          </cell>
        </row>
        <row r="888">
          <cell r="A888" t="str">
            <v>17055-00000-31</v>
          </cell>
          <cell r="F888">
            <v>0</v>
          </cell>
        </row>
        <row r="889">
          <cell r="A889" t="str">
            <v>17055-00000-32</v>
          </cell>
          <cell r="F889">
            <v>0</v>
          </cell>
        </row>
        <row r="890">
          <cell r="A890" t="str">
            <v>17055-00000-33</v>
          </cell>
          <cell r="F890">
            <v>0</v>
          </cell>
        </row>
        <row r="891">
          <cell r="A891" t="str">
            <v>17055-00000-34</v>
          </cell>
          <cell r="F891">
            <v>0</v>
          </cell>
        </row>
        <row r="892">
          <cell r="A892" t="str">
            <v>17055-00000-35</v>
          </cell>
          <cell r="F892">
            <v>0</v>
          </cell>
        </row>
        <row r="893">
          <cell r="A893" t="str">
            <v>17055-00000-36</v>
          </cell>
          <cell r="F893">
            <v>0</v>
          </cell>
        </row>
        <row r="894">
          <cell r="A894" t="str">
            <v>17055-00000-37</v>
          </cell>
          <cell r="F894">
            <v>0</v>
          </cell>
        </row>
        <row r="895">
          <cell r="A895" t="str">
            <v>17055-00000-38</v>
          </cell>
          <cell r="F895">
            <v>0</v>
          </cell>
        </row>
        <row r="896">
          <cell r="A896" t="str">
            <v>17055-00000-39</v>
          </cell>
          <cell r="F896">
            <v>0</v>
          </cell>
        </row>
        <row r="897">
          <cell r="A897" t="str">
            <v>17055-00000-40</v>
          </cell>
          <cell r="F897">
            <v>0</v>
          </cell>
        </row>
        <row r="898">
          <cell r="A898" t="str">
            <v>17057-00000-00</v>
          </cell>
          <cell r="F898">
            <v>0</v>
          </cell>
        </row>
        <row r="899">
          <cell r="A899" t="str">
            <v>17057-00000-01</v>
          </cell>
          <cell r="F899">
            <v>31062.09</v>
          </cell>
        </row>
        <row r="900">
          <cell r="A900" t="str">
            <v>17057-00000-02</v>
          </cell>
          <cell r="F900">
            <v>0</v>
          </cell>
        </row>
        <row r="901">
          <cell r="A901" t="str">
            <v>17057-00000-03</v>
          </cell>
          <cell r="F901">
            <v>0</v>
          </cell>
        </row>
        <row r="902">
          <cell r="A902" t="str">
            <v>17057-00000-04</v>
          </cell>
          <cell r="F902">
            <v>0</v>
          </cell>
        </row>
        <row r="903">
          <cell r="A903" t="str">
            <v>17057-00000-05</v>
          </cell>
          <cell r="F903">
            <v>0</v>
          </cell>
        </row>
        <row r="904">
          <cell r="A904" t="str">
            <v>17057-00000-06</v>
          </cell>
          <cell r="F904">
            <v>0</v>
          </cell>
        </row>
        <row r="905">
          <cell r="A905" t="str">
            <v>17057-00000-07</v>
          </cell>
          <cell r="F905">
            <v>0</v>
          </cell>
        </row>
        <row r="906">
          <cell r="A906" t="str">
            <v>17057-00000-08</v>
          </cell>
          <cell r="F906">
            <v>0</v>
          </cell>
        </row>
        <row r="907">
          <cell r="A907" t="str">
            <v>17057-00000-09</v>
          </cell>
          <cell r="F907">
            <v>243708.74</v>
          </cell>
        </row>
        <row r="908">
          <cell r="A908" t="str">
            <v>17057-00000-10</v>
          </cell>
          <cell r="F908">
            <v>0</v>
          </cell>
        </row>
        <row r="909">
          <cell r="A909" t="str">
            <v>17057-00000-11</v>
          </cell>
          <cell r="F909">
            <v>0</v>
          </cell>
        </row>
        <row r="910">
          <cell r="A910" t="str">
            <v>17057-00000-12</v>
          </cell>
          <cell r="F910">
            <v>0</v>
          </cell>
        </row>
        <row r="911">
          <cell r="A911" t="str">
            <v>17057-00000-13</v>
          </cell>
          <cell r="F911">
            <v>0</v>
          </cell>
        </row>
        <row r="912">
          <cell r="A912" t="str">
            <v>17057-00000-14</v>
          </cell>
          <cell r="F912">
            <v>0</v>
          </cell>
        </row>
        <row r="913">
          <cell r="A913" t="str">
            <v>17057-00000-15</v>
          </cell>
          <cell r="F913">
            <v>0</v>
          </cell>
        </row>
        <row r="914">
          <cell r="A914" t="str">
            <v>17057-00000-16</v>
          </cell>
          <cell r="F914">
            <v>0</v>
          </cell>
        </row>
        <row r="915">
          <cell r="A915" t="str">
            <v>17057-00000-17</v>
          </cell>
          <cell r="F915">
            <v>0</v>
          </cell>
        </row>
        <row r="916">
          <cell r="A916" t="str">
            <v>17057-00000-18</v>
          </cell>
          <cell r="F916">
            <v>0</v>
          </cell>
        </row>
        <row r="917">
          <cell r="A917" t="str">
            <v>17057-00000-20</v>
          </cell>
          <cell r="F917">
            <v>0</v>
          </cell>
        </row>
        <row r="918">
          <cell r="A918" t="str">
            <v>17057-00000-21</v>
          </cell>
          <cell r="F918">
            <v>0</v>
          </cell>
        </row>
        <row r="919">
          <cell r="A919" t="str">
            <v>17057-00000-22</v>
          </cell>
          <cell r="F919">
            <v>0</v>
          </cell>
        </row>
        <row r="920">
          <cell r="A920" t="str">
            <v>17057-00000-23</v>
          </cell>
          <cell r="F920">
            <v>0</v>
          </cell>
        </row>
        <row r="921">
          <cell r="A921" t="str">
            <v>17057-00000-24</v>
          </cell>
          <cell r="F921">
            <v>0</v>
          </cell>
        </row>
        <row r="922">
          <cell r="A922" t="str">
            <v>17057-00000-25</v>
          </cell>
          <cell r="F922">
            <v>0</v>
          </cell>
        </row>
        <row r="923">
          <cell r="A923" t="str">
            <v>17057-00000-26</v>
          </cell>
          <cell r="F923">
            <v>0</v>
          </cell>
        </row>
        <row r="924">
          <cell r="A924" t="str">
            <v>17057-00000-27</v>
          </cell>
          <cell r="F924">
            <v>0</v>
          </cell>
        </row>
        <row r="925">
          <cell r="A925" t="str">
            <v>17057-00000-28</v>
          </cell>
          <cell r="F925">
            <v>0</v>
          </cell>
        </row>
        <row r="926">
          <cell r="A926" t="str">
            <v>17057-00000-29</v>
          </cell>
          <cell r="F926">
            <v>163172.78</v>
          </cell>
        </row>
        <row r="927">
          <cell r="A927" t="str">
            <v>17057-00000-30</v>
          </cell>
          <cell r="F927">
            <v>0</v>
          </cell>
        </row>
        <row r="928">
          <cell r="A928" t="str">
            <v>17057-00000-31</v>
          </cell>
          <cell r="F928">
            <v>0</v>
          </cell>
        </row>
        <row r="929">
          <cell r="A929" t="str">
            <v>17059-00000-00</v>
          </cell>
          <cell r="F929">
            <v>0</v>
          </cell>
        </row>
        <row r="930">
          <cell r="A930" t="str">
            <v>17059-00000-01</v>
          </cell>
          <cell r="F930">
            <v>0</v>
          </cell>
        </row>
        <row r="931">
          <cell r="A931" t="str">
            <v>17059-00000-02</v>
          </cell>
          <cell r="F931">
            <v>0</v>
          </cell>
        </row>
        <row r="932">
          <cell r="A932" t="str">
            <v>17059-00000-03</v>
          </cell>
          <cell r="F932">
            <v>0</v>
          </cell>
        </row>
        <row r="933">
          <cell r="A933" t="str">
            <v>17059-00000-04</v>
          </cell>
          <cell r="F933">
            <v>0</v>
          </cell>
        </row>
        <row r="934">
          <cell r="A934" t="str">
            <v>17059-00000-05</v>
          </cell>
          <cell r="F934">
            <v>0</v>
          </cell>
        </row>
        <row r="935">
          <cell r="A935" t="str">
            <v>17059-00000-06</v>
          </cell>
          <cell r="F935">
            <v>0</v>
          </cell>
        </row>
        <row r="936">
          <cell r="A936" t="str">
            <v>17059-00000-07</v>
          </cell>
          <cell r="F936">
            <v>0</v>
          </cell>
        </row>
        <row r="937">
          <cell r="A937" t="str">
            <v>17059-00000-08</v>
          </cell>
          <cell r="F937">
            <v>0</v>
          </cell>
        </row>
        <row r="938">
          <cell r="A938" t="str">
            <v>17059-00000-09</v>
          </cell>
          <cell r="F938">
            <v>0</v>
          </cell>
        </row>
        <row r="939">
          <cell r="A939" t="str">
            <v>17059-00000-10</v>
          </cell>
          <cell r="F939">
            <v>0</v>
          </cell>
        </row>
        <row r="940">
          <cell r="A940" t="str">
            <v>17059-00000-11</v>
          </cell>
          <cell r="F940">
            <v>0</v>
          </cell>
        </row>
        <row r="941">
          <cell r="A941" t="str">
            <v>17061-00000-00</v>
          </cell>
          <cell r="F941">
            <v>0</v>
          </cell>
        </row>
        <row r="942">
          <cell r="A942" t="str">
            <v>17061-00000-01</v>
          </cell>
          <cell r="F942">
            <v>20000</v>
          </cell>
        </row>
        <row r="943">
          <cell r="A943" t="str">
            <v>17070-00000-00</v>
          </cell>
          <cell r="F943">
            <v>0</v>
          </cell>
        </row>
        <row r="944">
          <cell r="A944" t="str">
            <v>17070-00000-01</v>
          </cell>
          <cell r="F944">
            <v>0</v>
          </cell>
        </row>
        <row r="945">
          <cell r="A945" t="str">
            <v>17070-00000-02</v>
          </cell>
          <cell r="F945">
            <v>0</v>
          </cell>
        </row>
        <row r="946">
          <cell r="A946" t="str">
            <v>17070-00000-03</v>
          </cell>
          <cell r="F946">
            <v>0</v>
          </cell>
        </row>
        <row r="947">
          <cell r="A947" t="str">
            <v>17070-00000-04</v>
          </cell>
          <cell r="F947">
            <v>0</v>
          </cell>
        </row>
        <row r="948">
          <cell r="A948" t="str">
            <v>17070-00000-05</v>
          </cell>
          <cell r="F948">
            <v>0</v>
          </cell>
        </row>
        <row r="949">
          <cell r="A949" t="str">
            <v>17070-00000-06</v>
          </cell>
          <cell r="F949">
            <v>0</v>
          </cell>
        </row>
        <row r="950">
          <cell r="A950" t="str">
            <v>17070-00000-07</v>
          </cell>
          <cell r="F950">
            <v>0</v>
          </cell>
        </row>
        <row r="951">
          <cell r="A951" t="str">
            <v>17070-00000-08</v>
          </cell>
          <cell r="F951">
            <v>0</v>
          </cell>
        </row>
        <row r="952">
          <cell r="A952" t="str">
            <v>17070-00000-09</v>
          </cell>
          <cell r="F952">
            <v>0</v>
          </cell>
        </row>
        <row r="953">
          <cell r="A953" t="str">
            <v>17070-00000-10</v>
          </cell>
          <cell r="F953">
            <v>0</v>
          </cell>
        </row>
        <row r="954">
          <cell r="A954" t="str">
            <v>17070-00000-11</v>
          </cell>
          <cell r="F954">
            <v>0</v>
          </cell>
        </row>
        <row r="955">
          <cell r="A955" t="str">
            <v>17070-00000-12</v>
          </cell>
          <cell r="F955">
            <v>0</v>
          </cell>
        </row>
        <row r="956">
          <cell r="A956" t="str">
            <v>17070-00000-13</v>
          </cell>
          <cell r="F956">
            <v>0</v>
          </cell>
        </row>
        <row r="957">
          <cell r="A957" t="str">
            <v>17070-00000-14</v>
          </cell>
          <cell r="F957">
            <v>0</v>
          </cell>
        </row>
        <row r="958">
          <cell r="A958" t="str">
            <v>17070-00000-15</v>
          </cell>
          <cell r="F958">
            <v>0</v>
          </cell>
        </row>
        <row r="959">
          <cell r="A959" t="str">
            <v>17070-00000-16</v>
          </cell>
          <cell r="F959">
            <v>0</v>
          </cell>
        </row>
        <row r="960">
          <cell r="A960" t="str">
            <v>17070-00000-17</v>
          </cell>
          <cell r="F960">
            <v>0</v>
          </cell>
        </row>
        <row r="961">
          <cell r="A961" t="str">
            <v>17070-00000-18</v>
          </cell>
          <cell r="F961">
            <v>0</v>
          </cell>
        </row>
        <row r="962">
          <cell r="A962" t="str">
            <v>17080-00000-00</v>
          </cell>
          <cell r="F962">
            <v>1435406.01</v>
          </cell>
        </row>
        <row r="963">
          <cell r="A963" t="str">
            <v>17081-00000-00</v>
          </cell>
          <cell r="F963">
            <v>2433371.23</v>
          </cell>
        </row>
        <row r="964">
          <cell r="A964" t="str">
            <v>17081-00000-01</v>
          </cell>
          <cell r="F964">
            <v>1363642.56</v>
          </cell>
        </row>
        <row r="965">
          <cell r="A965" t="str">
            <v>18010-00000-00</v>
          </cell>
          <cell r="F965">
            <v>11435.25</v>
          </cell>
        </row>
        <row r="966">
          <cell r="A966" t="str">
            <v>18011-00000-00</v>
          </cell>
          <cell r="F966">
            <v>0</v>
          </cell>
        </row>
        <row r="967">
          <cell r="A967" t="str">
            <v>18012-00000-00</v>
          </cell>
          <cell r="F967">
            <v>0</v>
          </cell>
        </row>
        <row r="968">
          <cell r="A968" t="str">
            <v>18020-00000-00</v>
          </cell>
          <cell r="F968">
            <v>0</v>
          </cell>
        </row>
        <row r="969">
          <cell r="A969" t="str">
            <v>18022-00000-00</v>
          </cell>
          <cell r="F969">
            <v>5587585.6500000004</v>
          </cell>
        </row>
        <row r="970">
          <cell r="A970" t="str">
            <v>18024-00000-00</v>
          </cell>
          <cell r="F970">
            <v>0</v>
          </cell>
        </row>
        <row r="971">
          <cell r="A971" t="str">
            <v>18026-00000-00</v>
          </cell>
          <cell r="F971">
            <v>0</v>
          </cell>
        </row>
        <row r="972">
          <cell r="A972" t="str">
            <v>18090-00000-00</v>
          </cell>
          <cell r="F972">
            <v>1100</v>
          </cell>
        </row>
        <row r="973">
          <cell r="A973" t="str">
            <v>18095-00000-00</v>
          </cell>
          <cell r="F973">
            <v>0</v>
          </cell>
        </row>
        <row r="974">
          <cell r="A974" t="str">
            <v>19200-00000-00</v>
          </cell>
          <cell r="F974">
            <v>3335188.86</v>
          </cell>
        </row>
        <row r="975">
          <cell r="F975">
            <v>65906730.189999998</v>
          </cell>
        </row>
        <row r="976">
          <cell r="A976" t="str">
            <v>Current Liabilities</v>
          </cell>
        </row>
        <row r="977">
          <cell r="A977" t="str">
            <v>21000-00000-00</v>
          </cell>
          <cell r="F977">
            <v>-10326863.539999999</v>
          </cell>
        </row>
        <row r="978">
          <cell r="A978" t="str">
            <v>21000-00000-01</v>
          </cell>
          <cell r="F978">
            <v>0</v>
          </cell>
        </row>
        <row r="979">
          <cell r="A979" t="str">
            <v>21005-00000-00</v>
          </cell>
          <cell r="F979">
            <v>-35632.080000000002</v>
          </cell>
        </row>
        <row r="980">
          <cell r="A980" t="str">
            <v>21010-00000-00</v>
          </cell>
          <cell r="F980">
            <v>0</v>
          </cell>
        </row>
        <row r="981">
          <cell r="A981" t="str">
            <v>21020-00000-00</v>
          </cell>
          <cell r="F981">
            <v>0</v>
          </cell>
        </row>
        <row r="982">
          <cell r="A982" t="str">
            <v>21030-00000-00</v>
          </cell>
          <cell r="F982">
            <v>0</v>
          </cell>
        </row>
        <row r="983">
          <cell r="A983" t="str">
            <v>21500-00000-00</v>
          </cell>
          <cell r="F983">
            <v>0</v>
          </cell>
        </row>
        <row r="984">
          <cell r="A984" t="str">
            <v>21520-00000-00</v>
          </cell>
          <cell r="F984">
            <v>-274229.92</v>
          </cell>
        </row>
        <row r="985">
          <cell r="A985" t="str">
            <v>22000-00000-00</v>
          </cell>
          <cell r="F985">
            <v>0</v>
          </cell>
        </row>
        <row r="986">
          <cell r="A986" t="str">
            <v>22000-00000-01</v>
          </cell>
          <cell r="F986">
            <v>0</v>
          </cell>
        </row>
        <row r="987">
          <cell r="A987" t="str">
            <v>22000-00000-02</v>
          </cell>
          <cell r="F987">
            <v>0</v>
          </cell>
        </row>
        <row r="988">
          <cell r="A988" t="str">
            <v>22000-00000-03</v>
          </cell>
          <cell r="F988">
            <v>0</v>
          </cell>
        </row>
        <row r="989">
          <cell r="A989" t="str">
            <v>22000-00000-04</v>
          </cell>
          <cell r="F989">
            <v>0</v>
          </cell>
        </row>
        <row r="990">
          <cell r="A990" t="str">
            <v>22000-00000-05</v>
          </cell>
          <cell r="F990">
            <v>0</v>
          </cell>
        </row>
        <row r="991">
          <cell r="A991" t="str">
            <v>22000-00000-06</v>
          </cell>
          <cell r="F991">
            <v>0</v>
          </cell>
        </row>
        <row r="992">
          <cell r="A992" t="str">
            <v>22000-00000-07</v>
          </cell>
          <cell r="F992">
            <v>-43790.49</v>
          </cell>
        </row>
        <row r="993">
          <cell r="A993" t="str">
            <v>22000-00000-08</v>
          </cell>
          <cell r="F993">
            <v>0</v>
          </cell>
        </row>
        <row r="994">
          <cell r="A994" t="str">
            <v>22000-00000-09</v>
          </cell>
          <cell r="F994">
            <v>0</v>
          </cell>
        </row>
        <row r="995">
          <cell r="A995" t="str">
            <v>22000-00000-10</v>
          </cell>
          <cell r="F995">
            <v>0</v>
          </cell>
        </row>
        <row r="996">
          <cell r="A996" t="str">
            <v>22000-00000-11</v>
          </cell>
          <cell r="F996">
            <v>0</v>
          </cell>
        </row>
        <row r="997">
          <cell r="A997" t="str">
            <v>22000-00000-12</v>
          </cell>
          <cell r="F997">
            <v>0</v>
          </cell>
        </row>
        <row r="998">
          <cell r="A998" t="str">
            <v>22000-00000-13</v>
          </cell>
          <cell r="F998">
            <v>0</v>
          </cell>
        </row>
        <row r="999">
          <cell r="A999" t="str">
            <v>22000-00000-14</v>
          </cell>
          <cell r="F999">
            <v>0</v>
          </cell>
        </row>
        <row r="1000">
          <cell r="A1000" t="str">
            <v>22000-00000-15</v>
          </cell>
          <cell r="F1000">
            <v>0</v>
          </cell>
        </row>
        <row r="1001">
          <cell r="A1001" t="str">
            <v>22000-00000-16</v>
          </cell>
          <cell r="F1001">
            <v>0</v>
          </cell>
        </row>
        <row r="1002">
          <cell r="A1002" t="str">
            <v>22000-00000-17</v>
          </cell>
          <cell r="F1002">
            <v>0</v>
          </cell>
        </row>
        <row r="1003">
          <cell r="A1003" t="str">
            <v>22000-00000-18</v>
          </cell>
          <cell r="F1003">
            <v>0</v>
          </cell>
        </row>
        <row r="1004">
          <cell r="A1004" t="str">
            <v>22000-00000-19</v>
          </cell>
          <cell r="F1004">
            <v>0</v>
          </cell>
        </row>
        <row r="1005">
          <cell r="A1005" t="str">
            <v>22000-00000-20</v>
          </cell>
          <cell r="F1005">
            <v>0</v>
          </cell>
        </row>
        <row r="1006">
          <cell r="A1006" t="str">
            <v>22000-00000-21</v>
          </cell>
          <cell r="F1006">
            <v>0</v>
          </cell>
        </row>
        <row r="1007">
          <cell r="A1007" t="str">
            <v>22000-00000-22</v>
          </cell>
          <cell r="F1007">
            <v>0</v>
          </cell>
        </row>
        <row r="1008">
          <cell r="A1008" t="str">
            <v>23000-00000-00</v>
          </cell>
          <cell r="F1008">
            <v>0</v>
          </cell>
        </row>
        <row r="1009">
          <cell r="A1009" t="str">
            <v>23000-00000-01</v>
          </cell>
          <cell r="F1009">
            <v>0</v>
          </cell>
        </row>
        <row r="1010">
          <cell r="A1010" t="str">
            <v>23001-00000-00</v>
          </cell>
          <cell r="F1010">
            <v>0</v>
          </cell>
        </row>
        <row r="1011">
          <cell r="A1011" t="str">
            <v>23001-00000-01</v>
          </cell>
          <cell r="F1011">
            <v>0</v>
          </cell>
        </row>
        <row r="1012">
          <cell r="A1012" t="str">
            <v>23001-00000-02</v>
          </cell>
          <cell r="F1012">
            <v>0</v>
          </cell>
        </row>
        <row r="1013">
          <cell r="A1013" t="str">
            <v>23001-00000-03</v>
          </cell>
          <cell r="F1013">
            <v>-0.14000000000000001</v>
          </cell>
        </row>
        <row r="1014">
          <cell r="A1014" t="str">
            <v>23001-00000-04</v>
          </cell>
          <cell r="F1014">
            <v>0</v>
          </cell>
        </row>
        <row r="1015">
          <cell r="A1015" t="str">
            <v>23001-00000-05</v>
          </cell>
          <cell r="F1015">
            <v>0</v>
          </cell>
        </row>
        <row r="1016">
          <cell r="A1016" t="str">
            <v>23001-00000-06</v>
          </cell>
          <cell r="F1016">
            <v>0</v>
          </cell>
        </row>
        <row r="1017">
          <cell r="A1017" t="str">
            <v>23001-00000-07</v>
          </cell>
          <cell r="F1017">
            <v>0</v>
          </cell>
        </row>
        <row r="1018">
          <cell r="A1018" t="str">
            <v>23002-00000-00</v>
          </cell>
          <cell r="F1018">
            <v>0</v>
          </cell>
        </row>
        <row r="1019">
          <cell r="A1019" t="str">
            <v>23002-00000-01</v>
          </cell>
          <cell r="F1019">
            <v>0</v>
          </cell>
        </row>
        <row r="1020">
          <cell r="A1020" t="str">
            <v>23003-00000-00</v>
          </cell>
          <cell r="F1020">
            <v>0</v>
          </cell>
        </row>
        <row r="1021">
          <cell r="A1021" t="str">
            <v>23003-00000-01</v>
          </cell>
          <cell r="F1021">
            <v>-1140653</v>
          </cell>
        </row>
        <row r="1022">
          <cell r="A1022" t="str">
            <v>23003-00000-02</v>
          </cell>
          <cell r="F1022">
            <v>-353909</v>
          </cell>
        </row>
        <row r="1023">
          <cell r="A1023" t="str">
            <v>23003-00000-03</v>
          </cell>
          <cell r="F1023">
            <v>-2475</v>
          </cell>
        </row>
        <row r="1024">
          <cell r="A1024" t="str">
            <v>23003-00000-04</v>
          </cell>
          <cell r="F1024">
            <v>-41538</v>
          </cell>
        </row>
        <row r="1025">
          <cell r="A1025" t="str">
            <v>23003-00000-05</v>
          </cell>
          <cell r="F1025">
            <v>-49324</v>
          </cell>
        </row>
        <row r="1026">
          <cell r="A1026" t="str">
            <v>23003-00000-06</v>
          </cell>
          <cell r="F1026">
            <v>-396.38</v>
          </cell>
        </row>
        <row r="1027">
          <cell r="A1027" t="str">
            <v>23004-00000-00</v>
          </cell>
          <cell r="F1027">
            <v>0</v>
          </cell>
        </row>
        <row r="1028">
          <cell r="A1028" t="str">
            <v>23004-00000-01</v>
          </cell>
          <cell r="F1028">
            <v>-1149868.6499999999</v>
          </cell>
        </row>
        <row r="1029">
          <cell r="A1029" t="str">
            <v>23004-00000-02</v>
          </cell>
          <cell r="F1029">
            <v>-296122.76</v>
          </cell>
        </row>
        <row r="1030">
          <cell r="A1030" t="str">
            <v>23004-00000-03</v>
          </cell>
          <cell r="F1030">
            <v>-617.4</v>
          </cell>
        </row>
        <row r="1031">
          <cell r="A1031" t="str">
            <v>23004-00000-04</v>
          </cell>
          <cell r="F1031">
            <v>-4042.97</v>
          </cell>
        </row>
        <row r="1032">
          <cell r="A1032" t="str">
            <v>23004-00000-05</v>
          </cell>
          <cell r="F1032">
            <v>-50206.85</v>
          </cell>
        </row>
        <row r="1033">
          <cell r="A1033" t="str">
            <v>23004-00000-06</v>
          </cell>
          <cell r="F1033">
            <v>-24761.119999999999</v>
          </cell>
        </row>
        <row r="1034">
          <cell r="A1034" t="str">
            <v>23004-00000-07</v>
          </cell>
          <cell r="F1034">
            <v>0</v>
          </cell>
        </row>
        <row r="1035">
          <cell r="A1035" t="str">
            <v>23005-00000-00</v>
          </cell>
          <cell r="F1035">
            <v>0</v>
          </cell>
        </row>
        <row r="1036">
          <cell r="A1036" t="str">
            <v>23005-00000-01</v>
          </cell>
          <cell r="F1036">
            <v>-1070853.19</v>
          </cell>
        </row>
        <row r="1037">
          <cell r="A1037" t="str">
            <v>23005-00000-02</v>
          </cell>
          <cell r="F1037">
            <v>-284064.61</v>
          </cell>
        </row>
        <row r="1038">
          <cell r="A1038" t="str">
            <v>23005-00000-03</v>
          </cell>
          <cell r="F1038">
            <v>-4438.9799999999996</v>
          </cell>
        </row>
        <row r="1039">
          <cell r="A1039" t="str">
            <v>23005-00000-04</v>
          </cell>
          <cell r="F1039">
            <v>-14048.64</v>
          </cell>
        </row>
        <row r="1040">
          <cell r="A1040" t="str">
            <v>23005-00000-05</v>
          </cell>
          <cell r="F1040">
            <v>-352.83</v>
          </cell>
        </row>
        <row r="1041">
          <cell r="A1041" t="str">
            <v>23006-00000-00</v>
          </cell>
          <cell r="F1041">
            <v>0</v>
          </cell>
        </row>
        <row r="1042">
          <cell r="A1042" t="str">
            <v>23006-00000-01</v>
          </cell>
          <cell r="F1042">
            <v>0</v>
          </cell>
        </row>
        <row r="1043">
          <cell r="A1043" t="str">
            <v>23006-00000-03</v>
          </cell>
          <cell r="F1043">
            <v>0</v>
          </cell>
        </row>
        <row r="1044">
          <cell r="A1044" t="str">
            <v>23006-00000-05</v>
          </cell>
          <cell r="F1044">
            <v>0</v>
          </cell>
        </row>
        <row r="1045">
          <cell r="A1045" t="str">
            <v>23007-00000-00</v>
          </cell>
          <cell r="F1045">
            <v>0</v>
          </cell>
        </row>
        <row r="1046">
          <cell r="A1046" t="str">
            <v>23007-00000-03</v>
          </cell>
          <cell r="F1046">
            <v>-1579</v>
          </cell>
        </row>
        <row r="1047">
          <cell r="A1047" t="str">
            <v>23007-00000-04</v>
          </cell>
          <cell r="F1047">
            <v>-38</v>
          </cell>
        </row>
        <row r="1048">
          <cell r="A1048" t="str">
            <v>23008-00000-00</v>
          </cell>
          <cell r="F1048">
            <v>0</v>
          </cell>
        </row>
        <row r="1049">
          <cell r="A1049" t="str">
            <v>23008-00000-01</v>
          </cell>
          <cell r="F1049">
            <v>0</v>
          </cell>
        </row>
        <row r="1050">
          <cell r="A1050" t="str">
            <v>23008-00000-02</v>
          </cell>
          <cell r="F1050">
            <v>0</v>
          </cell>
        </row>
        <row r="1051">
          <cell r="A1051" t="str">
            <v>23008-00000-03</v>
          </cell>
          <cell r="F1051">
            <v>-1871.14</v>
          </cell>
        </row>
        <row r="1052">
          <cell r="A1052" t="str">
            <v>23008-00000-04</v>
          </cell>
          <cell r="F1052">
            <v>-3463.36</v>
          </cell>
        </row>
        <row r="1053">
          <cell r="A1053" t="str">
            <v>23008-00000-05</v>
          </cell>
          <cell r="F1053">
            <v>0</v>
          </cell>
        </row>
        <row r="1054">
          <cell r="A1054" t="str">
            <v>23009-00000-00</v>
          </cell>
          <cell r="F1054">
            <v>0</v>
          </cell>
        </row>
        <row r="1055">
          <cell r="A1055" t="str">
            <v>23009-00000-03</v>
          </cell>
          <cell r="F1055">
            <v>0</v>
          </cell>
        </row>
        <row r="1056">
          <cell r="A1056" t="str">
            <v>23009-00000-04</v>
          </cell>
          <cell r="F1056">
            <v>0</v>
          </cell>
        </row>
        <row r="1057">
          <cell r="A1057" t="str">
            <v>23010-00000-00</v>
          </cell>
          <cell r="F1057">
            <v>0</v>
          </cell>
        </row>
        <row r="1058">
          <cell r="A1058" t="str">
            <v>23010-00000-01</v>
          </cell>
          <cell r="F1058">
            <v>0</v>
          </cell>
        </row>
        <row r="1059">
          <cell r="A1059" t="str">
            <v>23010-00000-02</v>
          </cell>
          <cell r="F1059">
            <v>0</v>
          </cell>
        </row>
        <row r="1060">
          <cell r="A1060" t="str">
            <v>23010-00000-03</v>
          </cell>
          <cell r="F1060">
            <v>0</v>
          </cell>
        </row>
        <row r="1061">
          <cell r="A1061" t="str">
            <v>23010-00000-04</v>
          </cell>
          <cell r="F1061">
            <v>0</v>
          </cell>
        </row>
        <row r="1062">
          <cell r="A1062" t="str">
            <v>23010-00000-05</v>
          </cell>
          <cell r="F1062">
            <v>0</v>
          </cell>
        </row>
        <row r="1063">
          <cell r="A1063" t="str">
            <v>23010-00000-06</v>
          </cell>
          <cell r="F1063">
            <v>0</v>
          </cell>
        </row>
        <row r="1064">
          <cell r="A1064" t="str">
            <v>23011-00000-00</v>
          </cell>
          <cell r="F1064">
            <v>0</v>
          </cell>
        </row>
        <row r="1065">
          <cell r="A1065" t="str">
            <v>23011-00000-03</v>
          </cell>
          <cell r="F1065">
            <v>0</v>
          </cell>
        </row>
        <row r="1066">
          <cell r="A1066" t="str">
            <v>23012-00000-00</v>
          </cell>
          <cell r="F1066">
            <v>0</v>
          </cell>
        </row>
        <row r="1067">
          <cell r="A1067" t="str">
            <v>23012-00000-01</v>
          </cell>
          <cell r="F1067">
            <v>0</v>
          </cell>
        </row>
        <row r="1068">
          <cell r="A1068" t="str">
            <v>23012-00000-03</v>
          </cell>
          <cell r="F1068">
            <v>-905</v>
          </cell>
        </row>
        <row r="1069">
          <cell r="A1069" t="str">
            <v>23012-00000-04</v>
          </cell>
          <cell r="F1069">
            <v>-2373</v>
          </cell>
        </row>
        <row r="1070">
          <cell r="A1070" t="str">
            <v>23012-00000-05</v>
          </cell>
          <cell r="F1070">
            <v>0</v>
          </cell>
        </row>
        <row r="1071">
          <cell r="A1071" t="str">
            <v>23013-00000-00</v>
          </cell>
          <cell r="F1071">
            <v>0</v>
          </cell>
        </row>
        <row r="1072">
          <cell r="A1072" t="str">
            <v>23013-00000-03</v>
          </cell>
          <cell r="F1072">
            <v>0</v>
          </cell>
        </row>
        <row r="1073">
          <cell r="A1073" t="str">
            <v>23014-00000-00</v>
          </cell>
          <cell r="F1073">
            <v>0</v>
          </cell>
        </row>
        <row r="1074">
          <cell r="A1074" t="str">
            <v>23014-00000-01</v>
          </cell>
          <cell r="F1074">
            <v>0</v>
          </cell>
        </row>
        <row r="1075">
          <cell r="A1075" t="str">
            <v>23014-00000-02</v>
          </cell>
          <cell r="F1075">
            <v>0</v>
          </cell>
        </row>
        <row r="1076">
          <cell r="A1076" t="str">
            <v>23014-00000-03</v>
          </cell>
          <cell r="F1076">
            <v>0</v>
          </cell>
        </row>
        <row r="1077">
          <cell r="A1077" t="str">
            <v>23014-00000-04</v>
          </cell>
          <cell r="F1077">
            <v>-3548.08</v>
          </cell>
        </row>
        <row r="1078">
          <cell r="A1078" t="str">
            <v>23014-00000-05</v>
          </cell>
          <cell r="F1078">
            <v>0</v>
          </cell>
        </row>
        <row r="1079">
          <cell r="A1079" t="str">
            <v>23014-00000-06</v>
          </cell>
          <cell r="F1079">
            <v>0</v>
          </cell>
        </row>
        <row r="1080">
          <cell r="A1080" t="str">
            <v>23015-00000-00</v>
          </cell>
          <cell r="F1080">
            <v>0</v>
          </cell>
        </row>
        <row r="1081">
          <cell r="A1081" t="str">
            <v>23015-00000-03</v>
          </cell>
          <cell r="F1081">
            <v>0</v>
          </cell>
        </row>
        <row r="1082">
          <cell r="A1082" t="str">
            <v>23015-00000-05</v>
          </cell>
          <cell r="F1082">
            <v>0</v>
          </cell>
        </row>
        <row r="1083">
          <cell r="A1083" t="str">
            <v>23016-00000-00</v>
          </cell>
          <cell r="F1083">
            <v>0</v>
          </cell>
        </row>
        <row r="1084">
          <cell r="A1084" t="str">
            <v>23016-00000-01</v>
          </cell>
          <cell r="F1084">
            <v>-23214.799999999999</v>
          </cell>
        </row>
        <row r="1085">
          <cell r="A1085" t="str">
            <v>23016-00000-02</v>
          </cell>
          <cell r="F1085">
            <v>-1585.36</v>
          </cell>
        </row>
        <row r="1086">
          <cell r="A1086" t="str">
            <v>23016-00000-03</v>
          </cell>
          <cell r="F1086">
            <v>-6898.43</v>
          </cell>
        </row>
        <row r="1087">
          <cell r="A1087" t="str">
            <v>23016-00000-04</v>
          </cell>
          <cell r="F1087">
            <v>-2077.7399999999998</v>
          </cell>
        </row>
        <row r="1088">
          <cell r="A1088" t="str">
            <v>23016-00000-05</v>
          </cell>
          <cell r="F1088">
            <v>-210</v>
          </cell>
        </row>
        <row r="1089">
          <cell r="A1089" t="str">
            <v>23016-00000-06</v>
          </cell>
          <cell r="F1089">
            <v>-32.07</v>
          </cell>
        </row>
        <row r="1090">
          <cell r="A1090" t="str">
            <v>23017-00000-00</v>
          </cell>
          <cell r="F1090">
            <v>0</v>
          </cell>
        </row>
        <row r="1091">
          <cell r="A1091" t="str">
            <v>23017-00000-05</v>
          </cell>
          <cell r="F1091">
            <v>-3139.81</v>
          </cell>
        </row>
        <row r="1092">
          <cell r="A1092" t="str">
            <v>23018-00000-00</v>
          </cell>
          <cell r="F1092">
            <v>0</v>
          </cell>
        </row>
        <row r="1093">
          <cell r="A1093" t="str">
            <v>23018-00000-01</v>
          </cell>
          <cell r="F1093">
            <v>0</v>
          </cell>
        </row>
        <row r="1094">
          <cell r="A1094" t="str">
            <v>23018-00000-02</v>
          </cell>
          <cell r="F1094">
            <v>0</v>
          </cell>
        </row>
        <row r="1095">
          <cell r="A1095" t="str">
            <v>23018-00000-03</v>
          </cell>
          <cell r="F1095">
            <v>0</v>
          </cell>
        </row>
        <row r="1096">
          <cell r="A1096" t="str">
            <v>23018-00000-04</v>
          </cell>
          <cell r="F1096">
            <v>0</v>
          </cell>
        </row>
        <row r="1097">
          <cell r="A1097" t="str">
            <v>23018-00000-05</v>
          </cell>
          <cell r="F1097">
            <v>0</v>
          </cell>
        </row>
        <row r="1098">
          <cell r="A1098" t="str">
            <v>23019-00000-00</v>
          </cell>
          <cell r="F1098">
            <v>0</v>
          </cell>
        </row>
        <row r="1099">
          <cell r="A1099" t="str">
            <v>23019-00000-01</v>
          </cell>
          <cell r="F1099">
            <v>0</v>
          </cell>
        </row>
        <row r="1100">
          <cell r="A1100" t="str">
            <v>23019-00000-02</v>
          </cell>
          <cell r="F1100">
            <v>0</v>
          </cell>
        </row>
        <row r="1101">
          <cell r="A1101" t="str">
            <v>23019-00000-03</v>
          </cell>
          <cell r="F1101">
            <v>0</v>
          </cell>
        </row>
        <row r="1102">
          <cell r="A1102" t="str">
            <v>23019-00000-04</v>
          </cell>
          <cell r="F1102">
            <v>0</v>
          </cell>
        </row>
        <row r="1103">
          <cell r="A1103" t="str">
            <v>23020-00000-00</v>
          </cell>
          <cell r="F1103">
            <v>0</v>
          </cell>
        </row>
        <row r="1104">
          <cell r="A1104" t="str">
            <v>23020-00000-01</v>
          </cell>
          <cell r="F1104">
            <v>0</v>
          </cell>
        </row>
        <row r="1105">
          <cell r="A1105" t="str">
            <v>23020-00000-02</v>
          </cell>
          <cell r="F1105">
            <v>0</v>
          </cell>
        </row>
        <row r="1106">
          <cell r="A1106" t="str">
            <v>23020-00000-03</v>
          </cell>
          <cell r="F1106">
            <v>0</v>
          </cell>
        </row>
        <row r="1107">
          <cell r="A1107" t="str">
            <v>23020-00000-04</v>
          </cell>
          <cell r="F1107">
            <v>-642</v>
          </cell>
        </row>
        <row r="1108">
          <cell r="A1108" t="str">
            <v>23020-00000-05</v>
          </cell>
          <cell r="F1108">
            <v>-47</v>
          </cell>
        </row>
        <row r="1109">
          <cell r="A1109" t="str">
            <v>23021-00000-00</v>
          </cell>
          <cell r="F1109">
            <v>0</v>
          </cell>
        </row>
        <row r="1110">
          <cell r="A1110" t="str">
            <v>23021-00000-01</v>
          </cell>
          <cell r="F1110">
            <v>-5012.8500000000004</v>
          </cell>
        </row>
        <row r="1111">
          <cell r="A1111" t="str">
            <v>23021-00000-02</v>
          </cell>
          <cell r="F1111">
            <v>-2483.54</v>
          </cell>
        </row>
        <row r="1112">
          <cell r="A1112" t="str">
            <v>23021-00000-03</v>
          </cell>
          <cell r="F1112">
            <v>-700.6</v>
          </cell>
        </row>
        <row r="1113">
          <cell r="A1113" t="str">
            <v>23021-00000-04</v>
          </cell>
          <cell r="F1113">
            <v>-5443.1</v>
          </cell>
        </row>
        <row r="1114">
          <cell r="A1114" t="str">
            <v>23021-00000-05</v>
          </cell>
          <cell r="F1114">
            <v>-325.93</v>
          </cell>
        </row>
        <row r="1115">
          <cell r="A1115" t="str">
            <v>23022-00000-00</v>
          </cell>
          <cell r="F1115">
            <v>0</v>
          </cell>
        </row>
        <row r="1116">
          <cell r="A1116" t="str">
            <v>23022-00000-01</v>
          </cell>
          <cell r="F1116">
            <v>0</v>
          </cell>
        </row>
        <row r="1117">
          <cell r="A1117" t="str">
            <v>23022-00000-02</v>
          </cell>
          <cell r="F1117">
            <v>0</v>
          </cell>
        </row>
        <row r="1118">
          <cell r="A1118" t="str">
            <v>23022-00000-03</v>
          </cell>
          <cell r="F1118">
            <v>0</v>
          </cell>
        </row>
        <row r="1119">
          <cell r="A1119" t="str">
            <v>23022-00000-04</v>
          </cell>
          <cell r="F1119">
            <v>0</v>
          </cell>
        </row>
        <row r="1120">
          <cell r="A1120" t="str">
            <v>23022-00000-05</v>
          </cell>
          <cell r="F1120">
            <v>0</v>
          </cell>
        </row>
        <row r="1121">
          <cell r="A1121" t="str">
            <v>23023-00000-00</v>
          </cell>
          <cell r="F1121">
            <v>0</v>
          </cell>
        </row>
        <row r="1122">
          <cell r="A1122" t="str">
            <v>23023-00000-01</v>
          </cell>
          <cell r="F1122">
            <v>0</v>
          </cell>
        </row>
        <row r="1123">
          <cell r="A1123" t="str">
            <v>23023-00000-02</v>
          </cell>
          <cell r="F1123">
            <v>0</v>
          </cell>
        </row>
        <row r="1124">
          <cell r="A1124" t="str">
            <v>23023-00000-03</v>
          </cell>
          <cell r="F1124">
            <v>0</v>
          </cell>
        </row>
        <row r="1125">
          <cell r="A1125" t="str">
            <v>23023-00000-04</v>
          </cell>
          <cell r="F1125">
            <v>0</v>
          </cell>
        </row>
        <row r="1126">
          <cell r="A1126" t="str">
            <v>23023-00000-05</v>
          </cell>
          <cell r="F1126">
            <v>0</v>
          </cell>
        </row>
        <row r="1127">
          <cell r="A1127" t="str">
            <v>23024-00000-00</v>
          </cell>
          <cell r="F1127">
            <v>0</v>
          </cell>
        </row>
        <row r="1128">
          <cell r="A1128" t="str">
            <v>23024-00000-02</v>
          </cell>
          <cell r="F1128">
            <v>0</v>
          </cell>
        </row>
        <row r="1129">
          <cell r="A1129" t="str">
            <v>23024-00000-03</v>
          </cell>
          <cell r="F1129">
            <v>0</v>
          </cell>
        </row>
        <row r="1130">
          <cell r="A1130" t="str">
            <v>23024-00000-05</v>
          </cell>
          <cell r="F1130">
            <v>0</v>
          </cell>
        </row>
        <row r="1131">
          <cell r="A1131" t="str">
            <v>23025-00000-00</v>
          </cell>
          <cell r="F1131">
            <v>0</v>
          </cell>
        </row>
        <row r="1132">
          <cell r="A1132" t="str">
            <v>23025-00000-03</v>
          </cell>
          <cell r="F1132">
            <v>0</v>
          </cell>
        </row>
        <row r="1133">
          <cell r="A1133" t="str">
            <v>23026-00000-03</v>
          </cell>
          <cell r="F1133">
            <v>-73.09</v>
          </cell>
        </row>
        <row r="1134">
          <cell r="A1134" t="str">
            <v>23026-00000-05</v>
          </cell>
          <cell r="F1134">
            <v>0</v>
          </cell>
        </row>
        <row r="1135">
          <cell r="A1135" t="str">
            <v>23026-00000-06</v>
          </cell>
          <cell r="F1135">
            <v>0</v>
          </cell>
        </row>
        <row r="1136">
          <cell r="A1136" t="str">
            <v>23027-00000-03</v>
          </cell>
          <cell r="F1136">
            <v>0</v>
          </cell>
        </row>
        <row r="1137">
          <cell r="A1137" t="str">
            <v>23028-00000-01</v>
          </cell>
          <cell r="F1137">
            <v>-16.989999999999998</v>
          </cell>
        </row>
        <row r="1138">
          <cell r="A1138" t="str">
            <v>23200-00000-00</v>
          </cell>
          <cell r="F1138">
            <v>0</v>
          </cell>
        </row>
        <row r="1139">
          <cell r="A1139" t="str">
            <v>23201-00000-00</v>
          </cell>
          <cell r="F1139">
            <v>0</v>
          </cell>
        </row>
        <row r="1140">
          <cell r="A1140" t="str">
            <v>23201-00000-01</v>
          </cell>
          <cell r="F1140">
            <v>-4066.45</v>
          </cell>
        </row>
        <row r="1141">
          <cell r="A1141" t="str">
            <v>23202-00000-00</v>
          </cell>
          <cell r="F1141">
            <v>0</v>
          </cell>
        </row>
        <row r="1142">
          <cell r="A1142" t="str">
            <v>23202-00000-01</v>
          </cell>
          <cell r="F1142">
            <v>0</v>
          </cell>
        </row>
        <row r="1143">
          <cell r="A1143" t="str">
            <v>23202-00000-02</v>
          </cell>
          <cell r="F1143">
            <v>-701.25</v>
          </cell>
        </row>
        <row r="1144">
          <cell r="A1144" t="str">
            <v>23203-00000-00</v>
          </cell>
          <cell r="F1144">
            <v>0</v>
          </cell>
        </row>
        <row r="1145">
          <cell r="A1145" t="str">
            <v>23203-00000-01</v>
          </cell>
          <cell r="F1145">
            <v>-184.75</v>
          </cell>
        </row>
        <row r="1146">
          <cell r="A1146" t="str">
            <v>23203-00000-02</v>
          </cell>
          <cell r="F1146">
            <v>0</v>
          </cell>
        </row>
        <row r="1147">
          <cell r="A1147" t="str">
            <v>23203-00000-03</v>
          </cell>
          <cell r="F1147">
            <v>0</v>
          </cell>
        </row>
        <row r="1148">
          <cell r="A1148" t="str">
            <v>23203-00000-04</v>
          </cell>
          <cell r="F1148">
            <v>0</v>
          </cell>
        </row>
        <row r="1149">
          <cell r="A1149" t="str">
            <v>23203-00000-05</v>
          </cell>
          <cell r="F1149">
            <v>0</v>
          </cell>
        </row>
        <row r="1150">
          <cell r="A1150" t="str">
            <v>23203-00000-06</v>
          </cell>
          <cell r="F1150">
            <v>0</v>
          </cell>
        </row>
        <row r="1151">
          <cell r="A1151" t="str">
            <v>23203-00000-07</v>
          </cell>
          <cell r="F1151">
            <v>0</v>
          </cell>
        </row>
        <row r="1152">
          <cell r="A1152" t="str">
            <v>23204-00000-00</v>
          </cell>
          <cell r="F1152">
            <v>0</v>
          </cell>
        </row>
        <row r="1153">
          <cell r="A1153" t="str">
            <v>23204-00000-01</v>
          </cell>
          <cell r="F1153">
            <v>-10588.02</v>
          </cell>
        </row>
        <row r="1154">
          <cell r="A1154" t="str">
            <v>23205-00000-00</v>
          </cell>
          <cell r="F1154">
            <v>0</v>
          </cell>
        </row>
        <row r="1155">
          <cell r="A1155" t="str">
            <v>23205-00000-01</v>
          </cell>
          <cell r="F1155">
            <v>-12.83</v>
          </cell>
        </row>
        <row r="1156">
          <cell r="A1156" t="str">
            <v>23206-00000-00</v>
          </cell>
          <cell r="F1156">
            <v>0</v>
          </cell>
        </row>
        <row r="1157">
          <cell r="A1157" t="str">
            <v>23206-00000-01</v>
          </cell>
          <cell r="F1157">
            <v>0</v>
          </cell>
        </row>
        <row r="1158">
          <cell r="A1158" t="str">
            <v>23207-00000-00</v>
          </cell>
          <cell r="F1158">
            <v>0</v>
          </cell>
        </row>
        <row r="1159">
          <cell r="A1159" t="str">
            <v>23207-00000-01</v>
          </cell>
          <cell r="F1159">
            <v>-335.96</v>
          </cell>
        </row>
        <row r="1160">
          <cell r="A1160" t="str">
            <v>23208-00000-00</v>
          </cell>
          <cell r="F1160">
            <v>0</v>
          </cell>
        </row>
        <row r="1161">
          <cell r="A1161" t="str">
            <v>23208-00000-01</v>
          </cell>
          <cell r="F1161">
            <v>0</v>
          </cell>
        </row>
        <row r="1162">
          <cell r="A1162" t="str">
            <v>23209-00000-00</v>
          </cell>
          <cell r="F1162">
            <v>0</v>
          </cell>
        </row>
        <row r="1163">
          <cell r="A1163" t="str">
            <v>23209-00000-01</v>
          </cell>
          <cell r="F1163">
            <v>0</v>
          </cell>
        </row>
        <row r="1164">
          <cell r="A1164" t="str">
            <v>23210-00000-00</v>
          </cell>
          <cell r="F1164">
            <v>0</v>
          </cell>
        </row>
        <row r="1165">
          <cell r="A1165" t="str">
            <v>23210-00000-01</v>
          </cell>
          <cell r="F1165">
            <v>-1287.95</v>
          </cell>
        </row>
        <row r="1166">
          <cell r="A1166" t="str">
            <v>23210-00000-02</v>
          </cell>
          <cell r="F1166">
            <v>-790.67</v>
          </cell>
        </row>
        <row r="1167">
          <cell r="A1167" t="str">
            <v>23210-00000-03</v>
          </cell>
          <cell r="F1167">
            <v>-98271.92</v>
          </cell>
        </row>
        <row r="1168">
          <cell r="A1168" t="str">
            <v>23211-00000-00</v>
          </cell>
          <cell r="F1168">
            <v>0</v>
          </cell>
        </row>
        <row r="1169">
          <cell r="A1169" t="str">
            <v>23211-00000-01</v>
          </cell>
          <cell r="F1169">
            <v>-484.07</v>
          </cell>
        </row>
        <row r="1170">
          <cell r="A1170" t="str">
            <v>23212-00000-00</v>
          </cell>
          <cell r="F1170">
            <v>0</v>
          </cell>
        </row>
        <row r="1171">
          <cell r="A1171" t="str">
            <v>23212-00000-01</v>
          </cell>
          <cell r="F1171">
            <v>0</v>
          </cell>
        </row>
        <row r="1172">
          <cell r="A1172" t="str">
            <v>23213-00000-01</v>
          </cell>
          <cell r="F1172">
            <v>0</v>
          </cell>
        </row>
        <row r="1173">
          <cell r="A1173" t="str">
            <v>23214-00000-01</v>
          </cell>
          <cell r="F1173">
            <v>-2.0099999999999998</v>
          </cell>
        </row>
        <row r="1174">
          <cell r="A1174" t="str">
            <v>23215-00000-00</v>
          </cell>
          <cell r="F1174">
            <v>0</v>
          </cell>
        </row>
        <row r="1175">
          <cell r="A1175" t="str">
            <v>23215-00000-01</v>
          </cell>
          <cell r="F1175">
            <v>-846.36</v>
          </cell>
        </row>
        <row r="1176">
          <cell r="A1176" t="str">
            <v>23216-00000-00</v>
          </cell>
          <cell r="F1176">
            <v>0</v>
          </cell>
        </row>
        <row r="1177">
          <cell r="A1177" t="str">
            <v>23216-00000-01</v>
          </cell>
          <cell r="F1177">
            <v>0</v>
          </cell>
        </row>
        <row r="1178">
          <cell r="A1178" t="str">
            <v>23400-00000-00</v>
          </cell>
          <cell r="F1178">
            <v>0</v>
          </cell>
        </row>
        <row r="1179">
          <cell r="A1179" t="str">
            <v>23400-00000-01</v>
          </cell>
          <cell r="F1179">
            <v>-2478.61</v>
          </cell>
        </row>
        <row r="1180">
          <cell r="A1180" t="str">
            <v>23400-00000-02</v>
          </cell>
          <cell r="F1180">
            <v>0</v>
          </cell>
        </row>
        <row r="1181">
          <cell r="A1181" t="str">
            <v>23400-00000-03</v>
          </cell>
          <cell r="F1181">
            <v>-13241.88</v>
          </cell>
        </row>
        <row r="1182">
          <cell r="A1182" t="str">
            <v>23400-00000-04</v>
          </cell>
          <cell r="F1182">
            <v>0</v>
          </cell>
        </row>
        <row r="1183">
          <cell r="A1183" t="str">
            <v>23400-00000-05</v>
          </cell>
          <cell r="F1183">
            <v>0</v>
          </cell>
        </row>
        <row r="1184">
          <cell r="A1184" t="str">
            <v>23400-00000-06</v>
          </cell>
          <cell r="F1184">
            <v>0</v>
          </cell>
        </row>
        <row r="1185">
          <cell r="A1185" t="str">
            <v>23400-00000-07</v>
          </cell>
          <cell r="F1185">
            <v>-484.32</v>
          </cell>
        </row>
        <row r="1186">
          <cell r="A1186" t="str">
            <v>23400-00000-08</v>
          </cell>
          <cell r="F1186">
            <v>0</v>
          </cell>
        </row>
        <row r="1187">
          <cell r="A1187" t="str">
            <v>23400-00000-09</v>
          </cell>
          <cell r="F1187">
            <v>0</v>
          </cell>
        </row>
        <row r="1188">
          <cell r="A1188" t="str">
            <v>23400-00000-10</v>
          </cell>
          <cell r="F1188">
            <v>-10449.6</v>
          </cell>
        </row>
        <row r="1189">
          <cell r="A1189" t="str">
            <v>23400-00000-11</v>
          </cell>
          <cell r="F1189">
            <v>-3150</v>
          </cell>
        </row>
        <row r="1190">
          <cell r="A1190" t="str">
            <v>23400-00000-12</v>
          </cell>
          <cell r="F1190">
            <v>0</v>
          </cell>
        </row>
        <row r="1191">
          <cell r="A1191" t="str">
            <v>23400-00000-13</v>
          </cell>
          <cell r="F1191">
            <v>-210</v>
          </cell>
        </row>
        <row r="1192">
          <cell r="A1192" t="str">
            <v>23400-00000-14</v>
          </cell>
          <cell r="F1192">
            <v>0</v>
          </cell>
        </row>
        <row r="1193">
          <cell r="A1193" t="str">
            <v>23400-00000-15</v>
          </cell>
          <cell r="F1193">
            <v>0</v>
          </cell>
        </row>
        <row r="1194">
          <cell r="A1194" t="str">
            <v>23400-00000-16</v>
          </cell>
          <cell r="F1194">
            <v>-960.12</v>
          </cell>
        </row>
        <row r="1195">
          <cell r="A1195" t="str">
            <v>23400-00000-17</v>
          </cell>
          <cell r="F1195">
            <v>0</v>
          </cell>
        </row>
        <row r="1196">
          <cell r="A1196" t="str">
            <v>23400-00000-18</v>
          </cell>
          <cell r="F1196">
            <v>-2412.6</v>
          </cell>
        </row>
        <row r="1197">
          <cell r="A1197" t="str">
            <v>23400-00000-19</v>
          </cell>
          <cell r="F1197">
            <v>0</v>
          </cell>
        </row>
        <row r="1198">
          <cell r="A1198" t="str">
            <v>23400-00000-20</v>
          </cell>
          <cell r="F1198">
            <v>0</v>
          </cell>
        </row>
        <row r="1199">
          <cell r="A1199" t="str">
            <v>23400-00000-21</v>
          </cell>
          <cell r="F1199">
            <v>-72.900000000000006</v>
          </cell>
        </row>
        <row r="1200">
          <cell r="A1200" t="str">
            <v>23400-00000-22</v>
          </cell>
          <cell r="F1200">
            <v>0</v>
          </cell>
        </row>
        <row r="1201">
          <cell r="A1201" t="str">
            <v>23410-00000-00</v>
          </cell>
          <cell r="F1201">
            <v>0</v>
          </cell>
        </row>
        <row r="1202">
          <cell r="A1202" t="str">
            <v>23410-00000-01</v>
          </cell>
          <cell r="F1202">
            <v>0</v>
          </cell>
        </row>
        <row r="1203">
          <cell r="A1203" t="str">
            <v>23410-00000-02</v>
          </cell>
          <cell r="F1203">
            <v>0</v>
          </cell>
        </row>
        <row r="1204">
          <cell r="A1204" t="str">
            <v>23410-00000-03</v>
          </cell>
          <cell r="F1204">
            <v>0</v>
          </cell>
        </row>
        <row r="1205">
          <cell r="A1205" t="str">
            <v>23410-00000-04</v>
          </cell>
          <cell r="F1205">
            <v>0</v>
          </cell>
        </row>
        <row r="1206">
          <cell r="A1206" t="str">
            <v>23410-00000-05</v>
          </cell>
          <cell r="F1206">
            <v>0</v>
          </cell>
        </row>
        <row r="1207">
          <cell r="A1207" t="str">
            <v>23410-00000-06</v>
          </cell>
          <cell r="F1207">
            <v>0</v>
          </cell>
        </row>
        <row r="1208">
          <cell r="A1208" t="str">
            <v>25000-00000-00</v>
          </cell>
          <cell r="F1208">
            <v>-117582.3</v>
          </cell>
        </row>
        <row r="1209">
          <cell r="A1209" t="str">
            <v>25000-00000-01</v>
          </cell>
          <cell r="F1209">
            <v>-23149</v>
          </cell>
        </row>
        <row r="1210">
          <cell r="A1210" t="str">
            <v>25000-00000-02</v>
          </cell>
          <cell r="F1210">
            <v>-408548.82</v>
          </cell>
        </row>
        <row r="1211">
          <cell r="A1211" t="str">
            <v>25000-00000-03</v>
          </cell>
          <cell r="F1211">
            <v>-17500</v>
          </cell>
        </row>
        <row r="1212">
          <cell r="A1212" t="str">
            <v>25000-00000-04</v>
          </cell>
          <cell r="F1212">
            <v>-21706.05</v>
          </cell>
        </row>
        <row r="1213">
          <cell r="A1213" t="str">
            <v>25000-00000-05</v>
          </cell>
          <cell r="F1213">
            <v>0</v>
          </cell>
        </row>
        <row r="1214">
          <cell r="A1214" t="str">
            <v>25000-00000-06</v>
          </cell>
          <cell r="F1214">
            <v>0</v>
          </cell>
        </row>
        <row r="1215">
          <cell r="A1215" t="str">
            <v>25000-00000-07</v>
          </cell>
          <cell r="F1215">
            <v>0</v>
          </cell>
        </row>
        <row r="1216">
          <cell r="A1216" t="str">
            <v>25000-00000-08</v>
          </cell>
          <cell r="F1216">
            <v>0</v>
          </cell>
        </row>
        <row r="1217">
          <cell r="A1217" t="str">
            <v>25000-00000-09</v>
          </cell>
          <cell r="F1217">
            <v>-582052.65</v>
          </cell>
        </row>
        <row r="1218">
          <cell r="A1218" t="str">
            <v>25000-00000-10</v>
          </cell>
          <cell r="F1218">
            <v>0</v>
          </cell>
        </row>
        <row r="1219">
          <cell r="A1219" t="str">
            <v>25000-00000-11</v>
          </cell>
          <cell r="F1219">
            <v>0</v>
          </cell>
        </row>
        <row r="1220">
          <cell r="A1220" t="str">
            <v>25000-00000-12</v>
          </cell>
          <cell r="F1220">
            <v>-4165107.61</v>
          </cell>
        </row>
        <row r="1221">
          <cell r="A1221" t="str">
            <v>25000-00000-13</v>
          </cell>
          <cell r="F1221">
            <v>0</v>
          </cell>
        </row>
        <row r="1222">
          <cell r="A1222" t="str">
            <v>25000-00000-14</v>
          </cell>
          <cell r="F1222">
            <v>0</v>
          </cell>
        </row>
        <row r="1223">
          <cell r="A1223" t="str">
            <v>25000-00000-15</v>
          </cell>
          <cell r="F1223">
            <v>0</v>
          </cell>
        </row>
        <row r="1224">
          <cell r="A1224" t="str">
            <v>25000-00000-16</v>
          </cell>
          <cell r="F1224">
            <v>0</v>
          </cell>
        </row>
        <row r="1225">
          <cell r="A1225" t="str">
            <v>25000-00000-17</v>
          </cell>
          <cell r="F1225">
            <v>0</v>
          </cell>
        </row>
        <row r="1226">
          <cell r="A1226" t="str">
            <v>25000-00000-18</v>
          </cell>
          <cell r="F1226">
            <v>0</v>
          </cell>
        </row>
        <row r="1227">
          <cell r="A1227" t="str">
            <v>25000-00000-19</v>
          </cell>
          <cell r="F1227">
            <v>0</v>
          </cell>
        </row>
        <row r="1228">
          <cell r="A1228" t="str">
            <v>25000-00000-20</v>
          </cell>
          <cell r="F1228">
            <v>0</v>
          </cell>
        </row>
        <row r="1229">
          <cell r="A1229" t="str">
            <v>25000-00000-21</v>
          </cell>
          <cell r="F1229">
            <v>0</v>
          </cell>
        </row>
        <row r="1230">
          <cell r="A1230" t="str">
            <v>25000-00000-22</v>
          </cell>
          <cell r="F1230">
            <v>0</v>
          </cell>
        </row>
        <row r="1231">
          <cell r="A1231" t="str">
            <v>25000-00000-23</v>
          </cell>
          <cell r="F1231">
            <v>0</v>
          </cell>
        </row>
        <row r="1232">
          <cell r="A1232" t="str">
            <v>25000-00000-24</v>
          </cell>
          <cell r="F1232">
            <v>-387447.44</v>
          </cell>
        </row>
        <row r="1233">
          <cell r="A1233" t="str">
            <v>25000-00000-25</v>
          </cell>
          <cell r="F1233">
            <v>0</v>
          </cell>
        </row>
        <row r="1234">
          <cell r="A1234" t="str">
            <v>25000-00000-26</v>
          </cell>
          <cell r="F1234">
            <v>0</v>
          </cell>
        </row>
        <row r="1235">
          <cell r="A1235" t="str">
            <v>25000-00000-27</v>
          </cell>
          <cell r="F1235">
            <v>-46357.97</v>
          </cell>
        </row>
        <row r="1236">
          <cell r="A1236" t="str">
            <v>25000-00000-28</v>
          </cell>
          <cell r="F1236">
            <v>-44201.81</v>
          </cell>
        </row>
        <row r="1237">
          <cell r="A1237" t="str">
            <v>25000-00000-29</v>
          </cell>
          <cell r="F1237">
            <v>0</v>
          </cell>
        </row>
        <row r="1238">
          <cell r="A1238" t="str">
            <v>25000-00000-30</v>
          </cell>
          <cell r="F1238">
            <v>-45216.86</v>
          </cell>
        </row>
        <row r="1239">
          <cell r="A1239" t="str">
            <v>25000-00000-31</v>
          </cell>
          <cell r="F1239">
            <v>-56513.59</v>
          </cell>
        </row>
        <row r="1240">
          <cell r="A1240" t="str">
            <v>25000-00000-32</v>
          </cell>
          <cell r="F1240">
            <v>-30</v>
          </cell>
        </row>
        <row r="1241">
          <cell r="A1241" t="str">
            <v>25000-00000-33</v>
          </cell>
          <cell r="F1241">
            <v>-107615.24</v>
          </cell>
        </row>
        <row r="1242">
          <cell r="A1242" t="str">
            <v>25000-00000-34</v>
          </cell>
          <cell r="F1242">
            <v>-126670.58</v>
          </cell>
        </row>
        <row r="1243">
          <cell r="A1243" t="str">
            <v>25000-00000-35</v>
          </cell>
          <cell r="F1243">
            <v>-1623.06</v>
          </cell>
        </row>
        <row r="1244">
          <cell r="A1244" t="str">
            <v>25000-00000-36</v>
          </cell>
          <cell r="F1244">
            <v>-899.46</v>
          </cell>
        </row>
        <row r="1245">
          <cell r="A1245" t="str">
            <v>25000-00000-37</v>
          </cell>
          <cell r="F1245">
            <v>-52790.25</v>
          </cell>
        </row>
        <row r="1246">
          <cell r="A1246" t="str">
            <v>25000-00000-38</v>
          </cell>
          <cell r="F1246">
            <v>-35039.08</v>
          </cell>
        </row>
        <row r="1247">
          <cell r="A1247" t="str">
            <v>25000-00000-39</v>
          </cell>
          <cell r="F1247">
            <v>0</v>
          </cell>
        </row>
        <row r="1248">
          <cell r="A1248" t="str">
            <v>25990-00000-00</v>
          </cell>
          <cell r="F1248">
            <v>0</v>
          </cell>
        </row>
        <row r="1249">
          <cell r="A1249" t="str">
            <v>27030-00000-00</v>
          </cell>
          <cell r="F1249">
            <v>0</v>
          </cell>
        </row>
        <row r="1250">
          <cell r="A1250" t="str">
            <v>27040-00000-00</v>
          </cell>
          <cell r="F1250">
            <v>0</v>
          </cell>
        </row>
        <row r="1251">
          <cell r="A1251" t="str">
            <v>27050-00000-00</v>
          </cell>
          <cell r="F1251">
            <v>0</v>
          </cell>
        </row>
        <row r="1252">
          <cell r="A1252" t="str">
            <v>27060-00000-00</v>
          </cell>
          <cell r="F1252">
            <v>-26919.45</v>
          </cell>
        </row>
        <row r="1253">
          <cell r="A1253" t="str">
            <v>27060-00000-01</v>
          </cell>
          <cell r="F1253">
            <v>0</v>
          </cell>
        </row>
        <row r="1254">
          <cell r="A1254" t="str">
            <v>27070-00000-00</v>
          </cell>
          <cell r="F1254">
            <v>0</v>
          </cell>
        </row>
        <row r="1255">
          <cell r="A1255" t="str">
            <v>27070-00000-01</v>
          </cell>
          <cell r="F1255">
            <v>0</v>
          </cell>
        </row>
        <row r="1256">
          <cell r="A1256" t="str">
            <v>27080-00000-00</v>
          </cell>
          <cell r="F1256">
            <v>-12155.63</v>
          </cell>
        </row>
        <row r="1257">
          <cell r="A1257" t="str">
            <v>27090-00000-00</v>
          </cell>
          <cell r="F1257">
            <v>0</v>
          </cell>
        </row>
        <row r="1258">
          <cell r="F1258">
            <v>-21664029.559999999</v>
          </cell>
        </row>
        <row r="1259">
          <cell r="A1259" t="str">
            <v>Long-Term Liabilities</v>
          </cell>
        </row>
        <row r="1260">
          <cell r="A1260" t="str">
            <v>26030-00000-00</v>
          </cell>
          <cell r="F1260">
            <v>0</v>
          </cell>
        </row>
        <row r="1261">
          <cell r="A1261" t="str">
            <v>26035-00000-00</v>
          </cell>
          <cell r="F1261">
            <v>0</v>
          </cell>
        </row>
        <row r="1262">
          <cell r="A1262" t="str">
            <v>26036-00000-00</v>
          </cell>
          <cell r="F1262">
            <v>0</v>
          </cell>
        </row>
        <row r="1263">
          <cell r="A1263" t="str">
            <v>26037-00000-00</v>
          </cell>
          <cell r="F1263">
            <v>0</v>
          </cell>
        </row>
        <row r="1264">
          <cell r="A1264" t="str">
            <v>26038-00000-00</v>
          </cell>
          <cell r="F1264">
            <v>0</v>
          </cell>
        </row>
        <row r="1265">
          <cell r="A1265" t="str">
            <v>26300-00000-00</v>
          </cell>
          <cell r="F1265">
            <v>-3121488.84</v>
          </cell>
        </row>
        <row r="1266">
          <cell r="A1266" t="str">
            <v>27900-00000-00</v>
          </cell>
          <cell r="F1266">
            <v>0</v>
          </cell>
        </row>
        <row r="1267">
          <cell r="A1267" t="str">
            <v>27910-00000-00</v>
          </cell>
          <cell r="F1267">
            <v>-1363642.56</v>
          </cell>
        </row>
        <row r="1268">
          <cell r="F1268">
            <v>-4485131.4000000004</v>
          </cell>
        </row>
        <row r="1269">
          <cell r="A1269" t="str">
            <v>Equity</v>
          </cell>
        </row>
        <row r="1270">
          <cell r="A1270" t="str">
            <v>31010-00000-00</v>
          </cell>
          <cell r="F1270">
            <v>0</v>
          </cell>
        </row>
        <row r="1271">
          <cell r="A1271" t="str">
            <v>31015-00000-00</v>
          </cell>
          <cell r="F1271">
            <v>0</v>
          </cell>
        </row>
        <row r="1272">
          <cell r="A1272" t="str">
            <v>31020-00000-00</v>
          </cell>
          <cell r="F1272">
            <v>0</v>
          </cell>
        </row>
        <row r="1273">
          <cell r="A1273" t="str">
            <v>31025-00000-00</v>
          </cell>
          <cell r="F1273">
            <v>0</v>
          </cell>
        </row>
        <row r="1274">
          <cell r="A1274" t="str">
            <v>31030-00000-00</v>
          </cell>
          <cell r="F1274">
            <v>0</v>
          </cell>
        </row>
        <row r="1275">
          <cell r="A1275" t="str">
            <v>31035-00000-00</v>
          </cell>
          <cell r="F1275">
            <v>0</v>
          </cell>
        </row>
        <row r="1276">
          <cell r="A1276" t="str">
            <v>31040-00000-00</v>
          </cell>
          <cell r="F1276">
            <v>0</v>
          </cell>
        </row>
        <row r="1277">
          <cell r="A1277" t="str">
            <v>31050-00000-00</v>
          </cell>
          <cell r="F1277">
            <v>0</v>
          </cell>
        </row>
        <row r="1278">
          <cell r="A1278" t="str">
            <v>31055-00000-00</v>
          </cell>
          <cell r="F1278">
            <v>-132583777.98</v>
          </cell>
        </row>
        <row r="1279">
          <cell r="A1279" t="str">
            <v>32000-00000-00</v>
          </cell>
          <cell r="F1279">
            <v>0</v>
          </cell>
        </row>
        <row r="1280">
          <cell r="A1280" t="str">
            <v>32050-00000-00</v>
          </cell>
          <cell r="F1280">
            <v>0</v>
          </cell>
        </row>
        <row r="1281">
          <cell r="A1281" t="str">
            <v>32100-00000-00</v>
          </cell>
          <cell r="F1281">
            <v>0</v>
          </cell>
        </row>
        <row r="1282">
          <cell r="F1282">
            <v>-132583777.98</v>
          </cell>
        </row>
        <row r="1283">
          <cell r="A1283" t="str">
            <v>Revenue</v>
          </cell>
        </row>
        <row r="1284">
          <cell r="A1284" t="str">
            <v>40110-00000-00</v>
          </cell>
          <cell r="F1284">
            <v>0</v>
          </cell>
        </row>
        <row r="1285">
          <cell r="A1285" t="str">
            <v>40110-11001-00</v>
          </cell>
          <cell r="F1285">
            <v>-318958189.38999999</v>
          </cell>
        </row>
        <row r="1286">
          <cell r="A1286" t="str">
            <v>40110-11005-00</v>
          </cell>
          <cell r="F1286">
            <v>0</v>
          </cell>
        </row>
        <row r="1287">
          <cell r="A1287" t="str">
            <v>40110-13006-00</v>
          </cell>
          <cell r="F1287">
            <v>0</v>
          </cell>
        </row>
        <row r="1288">
          <cell r="A1288" t="str">
            <v>40110-13007-00</v>
          </cell>
          <cell r="F1288">
            <v>0</v>
          </cell>
        </row>
        <row r="1289">
          <cell r="A1289" t="str">
            <v>40110-13008-00</v>
          </cell>
          <cell r="F1289">
            <v>0</v>
          </cell>
        </row>
        <row r="1290">
          <cell r="A1290" t="str">
            <v>40110-31010-00</v>
          </cell>
          <cell r="F1290">
            <v>-507187.92</v>
          </cell>
        </row>
        <row r="1291">
          <cell r="A1291" t="str">
            <v>40110-31011-00</v>
          </cell>
          <cell r="F1291">
            <v>-995257.92</v>
          </cell>
        </row>
        <row r="1292">
          <cell r="A1292" t="str">
            <v>40110-31012-00</v>
          </cell>
          <cell r="F1292">
            <v>-53051.12</v>
          </cell>
        </row>
        <row r="1293">
          <cell r="A1293" t="str">
            <v>40110-31013-00</v>
          </cell>
          <cell r="F1293">
            <v>-353219.56</v>
          </cell>
        </row>
        <row r="1294">
          <cell r="A1294" t="str">
            <v>40110-31014-00</v>
          </cell>
          <cell r="F1294">
            <v>0</v>
          </cell>
        </row>
        <row r="1295">
          <cell r="A1295" t="str">
            <v>40110-31015-00</v>
          </cell>
          <cell r="F1295">
            <v>0</v>
          </cell>
        </row>
        <row r="1296">
          <cell r="A1296" t="str">
            <v>40110-31016-00</v>
          </cell>
          <cell r="F1296">
            <v>0</v>
          </cell>
        </row>
        <row r="1297">
          <cell r="A1297" t="str">
            <v>40110-31017-00</v>
          </cell>
          <cell r="F1297">
            <v>-54661.83</v>
          </cell>
        </row>
        <row r="1298">
          <cell r="A1298" t="str">
            <v>40110-31018-00</v>
          </cell>
          <cell r="F1298">
            <v>-136272.85</v>
          </cell>
        </row>
        <row r="1299">
          <cell r="A1299" t="str">
            <v>40110-31019-00</v>
          </cell>
          <cell r="F1299">
            <v>-20136.78</v>
          </cell>
        </row>
        <row r="1300">
          <cell r="A1300" t="str">
            <v>40110-31020-00</v>
          </cell>
          <cell r="F1300">
            <v>0</v>
          </cell>
        </row>
        <row r="1301">
          <cell r="A1301" t="str">
            <v>40110-31021-00</v>
          </cell>
          <cell r="F1301">
            <v>-54420.59</v>
          </cell>
        </row>
        <row r="1302">
          <cell r="A1302" t="str">
            <v>40110-31022-00</v>
          </cell>
          <cell r="F1302">
            <v>-49005.25</v>
          </cell>
        </row>
        <row r="1303">
          <cell r="A1303" t="str">
            <v>40110-31023-00</v>
          </cell>
          <cell r="F1303">
            <v>-100449.23</v>
          </cell>
        </row>
        <row r="1304">
          <cell r="A1304" t="str">
            <v>40110-31024-00</v>
          </cell>
          <cell r="F1304">
            <v>0</v>
          </cell>
        </row>
        <row r="1305">
          <cell r="A1305" t="str">
            <v>40110-31025-00</v>
          </cell>
          <cell r="F1305">
            <v>-69756.12</v>
          </cell>
        </row>
        <row r="1306">
          <cell r="A1306" t="str">
            <v>40110-31026-00</v>
          </cell>
          <cell r="F1306">
            <v>0</v>
          </cell>
        </row>
        <row r="1307">
          <cell r="A1307" t="str">
            <v>40110-31027-00</v>
          </cell>
          <cell r="F1307">
            <v>0</v>
          </cell>
        </row>
        <row r="1308">
          <cell r="A1308" t="str">
            <v>40110-31028-00</v>
          </cell>
          <cell r="F1308">
            <v>-577416.38</v>
          </cell>
        </row>
        <row r="1309">
          <cell r="A1309" t="str">
            <v>40110-31029-00</v>
          </cell>
          <cell r="F1309">
            <v>-272379.5</v>
          </cell>
        </row>
        <row r="1310">
          <cell r="A1310" t="str">
            <v>40110-31030-00</v>
          </cell>
          <cell r="F1310">
            <v>-251802.75</v>
          </cell>
        </row>
        <row r="1311">
          <cell r="A1311" t="str">
            <v>40110-31031-00</v>
          </cell>
          <cell r="F1311">
            <v>-124418.29</v>
          </cell>
        </row>
        <row r="1312">
          <cell r="A1312" t="str">
            <v>40110-31032-00</v>
          </cell>
          <cell r="F1312">
            <v>-239215.04</v>
          </cell>
        </row>
        <row r="1313">
          <cell r="A1313" t="str">
            <v>40110-31033-00</v>
          </cell>
          <cell r="F1313">
            <v>-519815.99</v>
          </cell>
        </row>
        <row r="1314">
          <cell r="A1314" t="str">
            <v>40110-31034-00</v>
          </cell>
          <cell r="F1314">
            <v>0</v>
          </cell>
        </row>
        <row r="1315">
          <cell r="A1315" t="str">
            <v>40110-31035-00</v>
          </cell>
          <cell r="F1315">
            <v>0</v>
          </cell>
        </row>
        <row r="1316">
          <cell r="A1316" t="str">
            <v>40110-31036-00</v>
          </cell>
          <cell r="F1316">
            <v>0</v>
          </cell>
        </row>
        <row r="1317">
          <cell r="A1317" t="str">
            <v>40110-31037-00</v>
          </cell>
          <cell r="F1317">
            <v>0</v>
          </cell>
        </row>
        <row r="1318">
          <cell r="A1318" t="str">
            <v>40110-31038-00</v>
          </cell>
          <cell r="F1318">
            <v>-189010.54</v>
          </cell>
        </row>
        <row r="1319">
          <cell r="A1319" t="str">
            <v>40110-31039-00</v>
          </cell>
          <cell r="F1319">
            <v>-51191.17</v>
          </cell>
        </row>
        <row r="1320">
          <cell r="A1320" t="str">
            <v>40110-31040-00</v>
          </cell>
          <cell r="F1320">
            <v>-19747.18</v>
          </cell>
        </row>
        <row r="1321">
          <cell r="A1321" t="str">
            <v>40110-31041-00</v>
          </cell>
          <cell r="F1321">
            <v>-201506.99</v>
          </cell>
        </row>
        <row r="1322">
          <cell r="A1322" t="str">
            <v>40110-31042-00</v>
          </cell>
          <cell r="F1322">
            <v>-66709.710000000006</v>
          </cell>
        </row>
        <row r="1323">
          <cell r="A1323" t="str">
            <v>40110-31043-00</v>
          </cell>
          <cell r="F1323">
            <v>-708732.18</v>
          </cell>
        </row>
        <row r="1324">
          <cell r="A1324" t="str">
            <v>40110-31044-00</v>
          </cell>
          <cell r="F1324">
            <v>0</v>
          </cell>
        </row>
        <row r="1325">
          <cell r="A1325" t="str">
            <v>40110-31045-00</v>
          </cell>
          <cell r="F1325">
            <v>0</v>
          </cell>
        </row>
        <row r="1326">
          <cell r="A1326" t="str">
            <v>40110-31046-00</v>
          </cell>
          <cell r="F1326">
            <v>-350593.46</v>
          </cell>
        </row>
        <row r="1327">
          <cell r="A1327" t="str">
            <v>40110-31047-00</v>
          </cell>
          <cell r="F1327">
            <v>0</v>
          </cell>
        </row>
        <row r="1328">
          <cell r="A1328" t="str">
            <v>40110-31048-00</v>
          </cell>
          <cell r="F1328">
            <v>-625797.82999999996</v>
          </cell>
        </row>
        <row r="1329">
          <cell r="A1329" t="str">
            <v>40110-31049-00</v>
          </cell>
          <cell r="F1329">
            <v>0</v>
          </cell>
        </row>
        <row r="1330">
          <cell r="A1330" t="str">
            <v>40110-31050-00</v>
          </cell>
          <cell r="F1330">
            <v>0</v>
          </cell>
        </row>
        <row r="1331">
          <cell r="A1331" t="str">
            <v>40110-31051-00</v>
          </cell>
          <cell r="F1331">
            <v>-81981.81</v>
          </cell>
        </row>
        <row r="1332">
          <cell r="A1332" t="str">
            <v>40110-31053-00</v>
          </cell>
          <cell r="F1332">
            <v>-20438.48</v>
          </cell>
        </row>
        <row r="1333">
          <cell r="A1333" t="str">
            <v>40110-31054-00</v>
          </cell>
          <cell r="F1333">
            <v>-1010768.98</v>
          </cell>
        </row>
        <row r="1334">
          <cell r="A1334" t="str">
            <v>40110-31055-00</v>
          </cell>
          <cell r="F1334">
            <v>-37574.22</v>
          </cell>
        </row>
        <row r="1335">
          <cell r="A1335" t="str">
            <v>40110-31056-00</v>
          </cell>
          <cell r="F1335">
            <v>0</v>
          </cell>
        </row>
        <row r="1336">
          <cell r="A1336" t="str">
            <v>40110-31057-00</v>
          </cell>
          <cell r="F1336">
            <v>-299789.23</v>
          </cell>
        </row>
        <row r="1337">
          <cell r="A1337" t="str">
            <v>40110-31058-00</v>
          </cell>
          <cell r="F1337">
            <v>-178.46</v>
          </cell>
        </row>
        <row r="1338">
          <cell r="A1338" t="str">
            <v>40110-31059-00</v>
          </cell>
          <cell r="F1338">
            <v>0</v>
          </cell>
        </row>
        <row r="1339">
          <cell r="A1339" t="str">
            <v>40110-31060-00</v>
          </cell>
          <cell r="F1339">
            <v>-45831.199999999997</v>
          </cell>
        </row>
        <row r="1340">
          <cell r="A1340" t="str">
            <v>40110-31061-00</v>
          </cell>
          <cell r="F1340">
            <v>0</v>
          </cell>
        </row>
        <row r="1341">
          <cell r="A1341" t="str">
            <v>40110-31062-00</v>
          </cell>
          <cell r="F1341">
            <v>-306.64999999999998</v>
          </cell>
        </row>
        <row r="1342">
          <cell r="A1342" t="str">
            <v>40110-31063-00</v>
          </cell>
          <cell r="F1342">
            <v>-2320.04</v>
          </cell>
        </row>
        <row r="1343">
          <cell r="A1343" t="str">
            <v>40110-31064-00</v>
          </cell>
          <cell r="F1343">
            <v>-3933.65</v>
          </cell>
        </row>
        <row r="1344">
          <cell r="A1344" t="str">
            <v>40110-31065-00</v>
          </cell>
          <cell r="F1344">
            <v>-609267.01</v>
          </cell>
        </row>
        <row r="1345">
          <cell r="A1345" t="str">
            <v>40110-31066-00</v>
          </cell>
          <cell r="F1345">
            <v>-76419.399999999994</v>
          </cell>
        </row>
        <row r="1346">
          <cell r="A1346" t="str">
            <v>40110-31067-00</v>
          </cell>
          <cell r="F1346">
            <v>-132263.75</v>
          </cell>
        </row>
        <row r="1347">
          <cell r="A1347" t="str">
            <v>40110-31068-00</v>
          </cell>
          <cell r="F1347">
            <v>-207379.35</v>
          </cell>
        </row>
        <row r="1348">
          <cell r="A1348" t="str">
            <v>40110-31069-00</v>
          </cell>
          <cell r="F1348">
            <v>-396568.19</v>
          </cell>
        </row>
        <row r="1349">
          <cell r="A1349" t="str">
            <v>40110-31070-00</v>
          </cell>
          <cell r="F1349">
            <v>-379155.84</v>
          </cell>
        </row>
        <row r="1350">
          <cell r="A1350" t="str">
            <v>40110-31071-00</v>
          </cell>
          <cell r="F1350">
            <v>-11352.41</v>
          </cell>
        </row>
        <row r="1351">
          <cell r="A1351" t="str">
            <v>40110-31072-00</v>
          </cell>
          <cell r="F1351">
            <v>0</v>
          </cell>
        </row>
        <row r="1352">
          <cell r="A1352" t="str">
            <v>40110-31073-00</v>
          </cell>
          <cell r="F1352">
            <v>-60584.92</v>
          </cell>
        </row>
        <row r="1353">
          <cell r="A1353" t="str">
            <v>40110-31074-00</v>
          </cell>
          <cell r="F1353">
            <v>-58539.94</v>
          </cell>
        </row>
        <row r="1354">
          <cell r="A1354" t="str">
            <v>40110-31075-00</v>
          </cell>
          <cell r="F1354">
            <v>0</v>
          </cell>
        </row>
        <row r="1355">
          <cell r="A1355" t="str">
            <v>40110-31076-00</v>
          </cell>
          <cell r="F1355">
            <v>-201.87</v>
          </cell>
        </row>
        <row r="1356">
          <cell r="A1356" t="str">
            <v>40110-31077-00</v>
          </cell>
          <cell r="F1356">
            <v>-193713.58</v>
          </cell>
        </row>
        <row r="1357">
          <cell r="A1357" t="str">
            <v>40110-31078-00</v>
          </cell>
          <cell r="F1357">
            <v>-1131.23</v>
          </cell>
        </row>
        <row r="1358">
          <cell r="A1358" t="str">
            <v>40110-31900-00</v>
          </cell>
          <cell r="F1358">
            <v>-4868868.26</v>
          </cell>
        </row>
        <row r="1359">
          <cell r="A1359" t="str">
            <v>40110-31910-00</v>
          </cell>
          <cell r="F1359">
            <v>-1598413.31</v>
          </cell>
        </row>
        <row r="1360">
          <cell r="A1360" t="str">
            <v>40110-43001-00</v>
          </cell>
          <cell r="F1360">
            <v>-1605387.75</v>
          </cell>
        </row>
        <row r="1361">
          <cell r="A1361" t="str">
            <v>40110-43002-00</v>
          </cell>
          <cell r="F1361">
            <v>-153405.14000000001</v>
          </cell>
        </row>
        <row r="1362">
          <cell r="A1362" t="str">
            <v>40110-43003-00</v>
          </cell>
          <cell r="F1362">
            <v>-608651.93999999994</v>
          </cell>
        </row>
        <row r="1363">
          <cell r="A1363" t="str">
            <v>40110-43005-00</v>
          </cell>
          <cell r="F1363">
            <v>-971729.02</v>
          </cell>
        </row>
        <row r="1364">
          <cell r="A1364" t="str">
            <v>40110-43009-00</v>
          </cell>
          <cell r="F1364">
            <v>-502602.17</v>
          </cell>
        </row>
        <row r="1365">
          <cell r="A1365" t="str">
            <v>40110-43029-00</v>
          </cell>
          <cell r="F1365">
            <v>-69534.28</v>
          </cell>
        </row>
        <row r="1366">
          <cell r="A1366" t="str">
            <v>40110-43030-00</v>
          </cell>
          <cell r="F1366">
            <v>-785427.03</v>
          </cell>
        </row>
        <row r="1367">
          <cell r="A1367" t="str">
            <v>40110-43031-00</v>
          </cell>
          <cell r="F1367">
            <v>-279166.75</v>
          </cell>
        </row>
        <row r="1368">
          <cell r="A1368" t="str">
            <v>40110-43032-00</v>
          </cell>
          <cell r="F1368">
            <v>-456817.38</v>
          </cell>
        </row>
        <row r="1369">
          <cell r="A1369" t="str">
            <v>40110-43041-00</v>
          </cell>
          <cell r="F1369">
            <v>-480134.47</v>
          </cell>
        </row>
        <row r="1370">
          <cell r="A1370" t="str">
            <v>40110-43052-00</v>
          </cell>
          <cell r="F1370">
            <v>0</v>
          </cell>
        </row>
        <row r="1371">
          <cell r="A1371" t="str">
            <v>40110-45001-00</v>
          </cell>
          <cell r="F1371">
            <v>-81304.22</v>
          </cell>
        </row>
        <row r="1372">
          <cell r="A1372" t="str">
            <v>40110-45002-00</v>
          </cell>
          <cell r="F1372">
            <v>-310592.71000000002</v>
          </cell>
        </row>
        <row r="1373">
          <cell r="A1373" t="str">
            <v>40110-45003-00</v>
          </cell>
          <cell r="F1373">
            <v>0</v>
          </cell>
        </row>
        <row r="1374">
          <cell r="A1374" t="str">
            <v>40110-45005-00</v>
          </cell>
          <cell r="F1374">
            <v>-232791.43</v>
          </cell>
        </row>
        <row r="1375">
          <cell r="A1375" t="str">
            <v>40110-45009-00</v>
          </cell>
          <cell r="F1375">
            <v>-4178.47</v>
          </cell>
        </row>
        <row r="1376">
          <cell r="A1376" t="str">
            <v>40110-45029-00</v>
          </cell>
          <cell r="F1376">
            <v>-26280.97</v>
          </cell>
        </row>
        <row r="1377">
          <cell r="A1377" t="str">
            <v>40110-45030-00</v>
          </cell>
          <cell r="F1377">
            <v>-91221.01</v>
          </cell>
        </row>
        <row r="1378">
          <cell r="A1378" t="str">
            <v>40110-45031-00</v>
          </cell>
          <cell r="F1378">
            <v>-328.91</v>
          </cell>
        </row>
        <row r="1379">
          <cell r="A1379" t="str">
            <v>40110-45032-00</v>
          </cell>
          <cell r="F1379">
            <v>-503.46</v>
          </cell>
        </row>
        <row r="1380">
          <cell r="A1380" t="str">
            <v>40110-45052-00</v>
          </cell>
          <cell r="F1380">
            <v>0</v>
          </cell>
        </row>
        <row r="1381">
          <cell r="A1381" t="str">
            <v>40210-00000-00</v>
          </cell>
          <cell r="F1381">
            <v>0</v>
          </cell>
        </row>
        <row r="1382">
          <cell r="A1382" t="str">
            <v>40210-11001-00</v>
          </cell>
          <cell r="F1382">
            <v>-146385056.66999999</v>
          </cell>
        </row>
        <row r="1383">
          <cell r="A1383" t="str">
            <v>40210-11005-00</v>
          </cell>
          <cell r="F1383">
            <v>0</v>
          </cell>
        </row>
        <row r="1384">
          <cell r="A1384" t="str">
            <v>40210-13006-00</v>
          </cell>
          <cell r="F1384">
            <v>0</v>
          </cell>
        </row>
        <row r="1385">
          <cell r="A1385" t="str">
            <v>40210-13007-00</v>
          </cell>
          <cell r="F1385">
            <v>-6622316.6500000004</v>
          </cell>
        </row>
        <row r="1386">
          <cell r="A1386" t="str">
            <v>40210-13008-00</v>
          </cell>
          <cell r="F1386">
            <v>0</v>
          </cell>
        </row>
        <row r="1387">
          <cell r="A1387" t="str">
            <v>40210-31010-00</v>
          </cell>
          <cell r="F1387">
            <v>-1069114.28</v>
          </cell>
        </row>
        <row r="1388">
          <cell r="A1388" t="str">
            <v>40210-31011-00</v>
          </cell>
          <cell r="F1388">
            <v>-958036.59</v>
          </cell>
        </row>
        <row r="1389">
          <cell r="A1389" t="str">
            <v>40210-31012-00</v>
          </cell>
          <cell r="F1389">
            <v>-160172.06</v>
          </cell>
        </row>
        <row r="1390">
          <cell r="A1390" t="str">
            <v>40210-31013-00</v>
          </cell>
          <cell r="F1390">
            <v>0</v>
          </cell>
        </row>
        <row r="1391">
          <cell r="A1391" t="str">
            <v>40210-31014-00</v>
          </cell>
          <cell r="F1391">
            <v>0</v>
          </cell>
        </row>
        <row r="1392">
          <cell r="A1392" t="str">
            <v>40210-31015-00</v>
          </cell>
          <cell r="F1392">
            <v>0</v>
          </cell>
        </row>
        <row r="1393">
          <cell r="A1393" t="str">
            <v>40210-31016-00</v>
          </cell>
          <cell r="F1393">
            <v>0</v>
          </cell>
        </row>
        <row r="1394">
          <cell r="A1394" t="str">
            <v>40210-31017-00</v>
          </cell>
          <cell r="F1394">
            <v>-133680.03</v>
          </cell>
        </row>
        <row r="1395">
          <cell r="A1395" t="str">
            <v>40210-31018-00</v>
          </cell>
          <cell r="F1395">
            <v>-933803.63</v>
          </cell>
        </row>
        <row r="1396">
          <cell r="A1396" t="str">
            <v>40210-31019-00</v>
          </cell>
          <cell r="F1396">
            <v>-95545.75</v>
          </cell>
        </row>
        <row r="1397">
          <cell r="A1397" t="str">
            <v>40210-31020-00</v>
          </cell>
          <cell r="F1397">
            <v>0</v>
          </cell>
        </row>
        <row r="1398">
          <cell r="A1398" t="str">
            <v>40210-31021-00</v>
          </cell>
          <cell r="F1398">
            <v>-214662.15</v>
          </cell>
        </row>
        <row r="1399">
          <cell r="A1399" t="str">
            <v>40210-31022-00</v>
          </cell>
          <cell r="F1399">
            <v>-728216.29</v>
          </cell>
        </row>
        <row r="1400">
          <cell r="A1400" t="str">
            <v>40210-31023-00</v>
          </cell>
          <cell r="F1400">
            <v>-989354.97</v>
          </cell>
        </row>
        <row r="1401">
          <cell r="A1401" t="str">
            <v>40210-31024-00</v>
          </cell>
          <cell r="F1401">
            <v>0</v>
          </cell>
        </row>
        <row r="1402">
          <cell r="A1402" t="str">
            <v>40210-31025-00</v>
          </cell>
          <cell r="F1402">
            <v>-199767.97</v>
          </cell>
        </row>
        <row r="1403">
          <cell r="A1403" t="str">
            <v>40210-31026-00</v>
          </cell>
          <cell r="F1403">
            <v>0</v>
          </cell>
        </row>
        <row r="1404">
          <cell r="A1404" t="str">
            <v>40210-31027-00</v>
          </cell>
          <cell r="F1404">
            <v>0</v>
          </cell>
        </row>
        <row r="1405">
          <cell r="A1405" t="str">
            <v>40210-31028-00</v>
          </cell>
          <cell r="F1405">
            <v>-1495042.19</v>
          </cell>
        </row>
        <row r="1406">
          <cell r="A1406" t="str">
            <v>40210-31029-00</v>
          </cell>
          <cell r="F1406">
            <v>-293206.33</v>
          </cell>
        </row>
        <row r="1407">
          <cell r="A1407" t="str">
            <v>40210-31030-00</v>
          </cell>
          <cell r="F1407">
            <v>-1591241.56</v>
          </cell>
        </row>
        <row r="1408">
          <cell r="A1408" t="str">
            <v>40210-31031-00</v>
          </cell>
          <cell r="F1408">
            <v>-304444.21000000002</v>
          </cell>
        </row>
        <row r="1409">
          <cell r="A1409" t="str">
            <v>40210-31032-00</v>
          </cell>
          <cell r="F1409">
            <v>-657042.16</v>
          </cell>
        </row>
        <row r="1410">
          <cell r="A1410" t="str">
            <v>40210-31033-00</v>
          </cell>
          <cell r="F1410">
            <v>-1042015.98</v>
          </cell>
        </row>
        <row r="1411">
          <cell r="A1411" t="str">
            <v>40210-31034-00</v>
          </cell>
          <cell r="F1411">
            <v>0</v>
          </cell>
        </row>
        <row r="1412">
          <cell r="A1412" t="str">
            <v>40210-31035-00</v>
          </cell>
          <cell r="F1412">
            <v>0</v>
          </cell>
        </row>
        <row r="1413">
          <cell r="A1413" t="str">
            <v>40210-31036-00</v>
          </cell>
          <cell r="F1413">
            <v>0</v>
          </cell>
        </row>
        <row r="1414">
          <cell r="A1414" t="str">
            <v>40210-31037-00</v>
          </cell>
          <cell r="F1414">
            <v>0</v>
          </cell>
        </row>
        <row r="1415">
          <cell r="A1415" t="str">
            <v>40210-31038-00</v>
          </cell>
          <cell r="F1415">
            <v>-781578.81</v>
          </cell>
        </row>
        <row r="1416">
          <cell r="A1416" t="str">
            <v>40210-31039-00</v>
          </cell>
          <cell r="F1416">
            <v>-244425.38</v>
          </cell>
        </row>
        <row r="1417">
          <cell r="A1417" t="str">
            <v>40210-31040-00</v>
          </cell>
          <cell r="F1417">
            <v>-86849.919999999998</v>
          </cell>
        </row>
        <row r="1418">
          <cell r="A1418" t="str">
            <v>40210-31041-00</v>
          </cell>
          <cell r="F1418">
            <v>-795883.71</v>
          </cell>
        </row>
        <row r="1419">
          <cell r="A1419" t="str">
            <v>40210-31042-00</v>
          </cell>
          <cell r="F1419">
            <v>-173457.53</v>
          </cell>
        </row>
        <row r="1420">
          <cell r="A1420" t="str">
            <v>40210-31043-00</v>
          </cell>
          <cell r="F1420">
            <v>-2804960.8</v>
          </cell>
        </row>
        <row r="1421">
          <cell r="A1421" t="str">
            <v>40210-31044-00</v>
          </cell>
          <cell r="F1421">
            <v>0</v>
          </cell>
        </row>
        <row r="1422">
          <cell r="A1422" t="str">
            <v>40210-31045-00</v>
          </cell>
          <cell r="F1422">
            <v>0</v>
          </cell>
        </row>
        <row r="1423">
          <cell r="A1423" t="str">
            <v>40210-31046-00</v>
          </cell>
          <cell r="F1423">
            <v>-546162.65</v>
          </cell>
        </row>
        <row r="1424">
          <cell r="A1424" t="str">
            <v>40210-31047-00</v>
          </cell>
          <cell r="F1424">
            <v>0</v>
          </cell>
        </row>
        <row r="1425">
          <cell r="A1425" t="str">
            <v>40210-31048-00</v>
          </cell>
          <cell r="F1425">
            <v>-966953.66</v>
          </cell>
        </row>
        <row r="1426">
          <cell r="A1426" t="str">
            <v>40210-31049-00</v>
          </cell>
          <cell r="F1426">
            <v>0</v>
          </cell>
        </row>
        <row r="1427">
          <cell r="A1427" t="str">
            <v>40210-31050-00</v>
          </cell>
          <cell r="F1427">
            <v>0</v>
          </cell>
        </row>
        <row r="1428">
          <cell r="A1428" t="str">
            <v>40210-31051-00</v>
          </cell>
          <cell r="F1428">
            <v>-125222.07</v>
          </cell>
        </row>
        <row r="1429">
          <cell r="A1429" t="str">
            <v>40210-31053-00</v>
          </cell>
          <cell r="F1429">
            <v>-90901.04</v>
          </cell>
        </row>
        <row r="1430">
          <cell r="A1430" t="str">
            <v>40210-31054-00</v>
          </cell>
          <cell r="F1430">
            <v>-957500.66</v>
          </cell>
        </row>
        <row r="1431">
          <cell r="A1431" t="str">
            <v>40210-31055-00</v>
          </cell>
          <cell r="F1431">
            <v>-158558.35999999999</v>
          </cell>
        </row>
        <row r="1432">
          <cell r="A1432" t="str">
            <v>40210-31056-00</v>
          </cell>
          <cell r="F1432">
            <v>0</v>
          </cell>
        </row>
        <row r="1433">
          <cell r="A1433" t="str">
            <v>40210-31057-00</v>
          </cell>
          <cell r="F1433">
            <v>-252883.55</v>
          </cell>
        </row>
        <row r="1434">
          <cell r="A1434" t="str">
            <v>40210-31058-00</v>
          </cell>
          <cell r="F1434">
            <v>-275.76</v>
          </cell>
        </row>
        <row r="1435">
          <cell r="A1435" t="str">
            <v>40210-31059-00</v>
          </cell>
          <cell r="F1435">
            <v>0</v>
          </cell>
        </row>
        <row r="1436">
          <cell r="A1436" t="str">
            <v>40210-31060-00</v>
          </cell>
          <cell r="F1436">
            <v>-94801.45</v>
          </cell>
        </row>
        <row r="1437">
          <cell r="A1437" t="str">
            <v>40210-31061-00</v>
          </cell>
          <cell r="F1437">
            <v>0</v>
          </cell>
        </row>
        <row r="1438">
          <cell r="A1438" t="str">
            <v>40210-31062-00</v>
          </cell>
          <cell r="F1438">
            <v>-738.51</v>
          </cell>
        </row>
        <row r="1439">
          <cell r="A1439" t="str">
            <v>40210-31063-00</v>
          </cell>
          <cell r="F1439">
            <v>-1009.4</v>
          </cell>
        </row>
        <row r="1440">
          <cell r="A1440" t="str">
            <v>40210-31064-00</v>
          </cell>
          <cell r="F1440">
            <v>-3725.21</v>
          </cell>
        </row>
        <row r="1441">
          <cell r="A1441" t="str">
            <v>40210-31065-00</v>
          </cell>
          <cell r="F1441">
            <v>-263118.84999999998</v>
          </cell>
        </row>
        <row r="1442">
          <cell r="A1442" t="str">
            <v>40210-31066-00</v>
          </cell>
          <cell r="F1442">
            <v>-110232.67</v>
          </cell>
        </row>
        <row r="1443">
          <cell r="A1443" t="str">
            <v>40210-31067-00</v>
          </cell>
          <cell r="F1443">
            <v>-135023.89000000001</v>
          </cell>
        </row>
        <row r="1444">
          <cell r="A1444" t="str">
            <v>40210-31068-00</v>
          </cell>
          <cell r="F1444">
            <v>-520623.82</v>
          </cell>
        </row>
        <row r="1445">
          <cell r="A1445" t="str">
            <v>40210-31069-00</v>
          </cell>
          <cell r="F1445">
            <v>-422033.29</v>
          </cell>
        </row>
        <row r="1446">
          <cell r="A1446" t="str">
            <v>40210-31070-00</v>
          </cell>
          <cell r="F1446">
            <v>-190183.95</v>
          </cell>
        </row>
        <row r="1447">
          <cell r="A1447" t="str">
            <v>40210-31071-00</v>
          </cell>
          <cell r="F1447">
            <v>-129433.24</v>
          </cell>
        </row>
        <row r="1448">
          <cell r="A1448" t="str">
            <v>40210-31072-00</v>
          </cell>
          <cell r="F1448">
            <v>0</v>
          </cell>
        </row>
        <row r="1449">
          <cell r="A1449" t="str">
            <v>40210-31073-00</v>
          </cell>
          <cell r="F1449">
            <v>-324663.90999999997</v>
          </cell>
        </row>
        <row r="1450">
          <cell r="A1450" t="str">
            <v>40210-31074-00</v>
          </cell>
          <cell r="F1450">
            <v>-564244.78</v>
          </cell>
        </row>
        <row r="1451">
          <cell r="A1451" t="str">
            <v>40210-31075-00</v>
          </cell>
          <cell r="F1451">
            <v>-1987.5</v>
          </cell>
        </row>
        <row r="1452">
          <cell r="A1452" t="str">
            <v>40210-31076-00</v>
          </cell>
          <cell r="F1452">
            <v>-603.07000000000005</v>
          </cell>
        </row>
        <row r="1453">
          <cell r="A1453" t="str">
            <v>40210-31077-00</v>
          </cell>
          <cell r="F1453">
            <v>-27593.45</v>
          </cell>
        </row>
        <row r="1454">
          <cell r="A1454" t="str">
            <v>40210-31078-00</v>
          </cell>
          <cell r="F1454">
            <v>-1125.3800000000001</v>
          </cell>
        </row>
        <row r="1455">
          <cell r="A1455" t="str">
            <v>40210-31900-00</v>
          </cell>
          <cell r="F1455">
            <v>-11772194.91</v>
          </cell>
        </row>
        <row r="1456">
          <cell r="A1456" t="str">
            <v>40210-31910-00</v>
          </cell>
          <cell r="F1456">
            <v>-4056542.77</v>
          </cell>
        </row>
        <row r="1457">
          <cell r="A1457" t="str">
            <v>40210-43001-00</v>
          </cell>
          <cell r="F1457">
            <v>-4494554.87</v>
          </cell>
        </row>
        <row r="1458">
          <cell r="A1458" t="str">
            <v>40210-43002-00</v>
          </cell>
          <cell r="F1458">
            <v>-1224268.72</v>
          </cell>
        </row>
        <row r="1459">
          <cell r="A1459" t="str">
            <v>40210-43003-00</v>
          </cell>
          <cell r="F1459">
            <v>-907393.46</v>
          </cell>
        </row>
        <row r="1460">
          <cell r="A1460" t="str">
            <v>40210-43005-00</v>
          </cell>
          <cell r="F1460">
            <v>-4414916.38</v>
          </cell>
        </row>
        <row r="1461">
          <cell r="A1461" t="str">
            <v>40210-43009-00</v>
          </cell>
          <cell r="F1461">
            <v>-1483370.94</v>
          </cell>
        </row>
        <row r="1462">
          <cell r="A1462" t="str">
            <v>40210-43029-00</v>
          </cell>
          <cell r="F1462">
            <v>-614878.59</v>
          </cell>
        </row>
        <row r="1463">
          <cell r="A1463" t="str">
            <v>40210-43030-00</v>
          </cell>
          <cell r="F1463">
            <v>-5392461.71</v>
          </cell>
        </row>
        <row r="1464">
          <cell r="A1464" t="str">
            <v>40210-43031-00</v>
          </cell>
          <cell r="F1464">
            <v>-593444.67000000004</v>
          </cell>
        </row>
        <row r="1465">
          <cell r="A1465" t="str">
            <v>40210-43032-00</v>
          </cell>
          <cell r="F1465">
            <v>-462527.17</v>
          </cell>
        </row>
        <row r="1466">
          <cell r="A1466" t="str">
            <v>40210-43041-00</v>
          </cell>
          <cell r="F1466">
            <v>-1822071.19</v>
          </cell>
        </row>
        <row r="1467">
          <cell r="A1467" t="str">
            <v>40210-43052-00</v>
          </cell>
          <cell r="F1467">
            <v>0</v>
          </cell>
        </row>
        <row r="1468">
          <cell r="A1468" t="str">
            <v>40210-45001-00</v>
          </cell>
          <cell r="F1468">
            <v>-299922.69</v>
          </cell>
        </row>
        <row r="1469">
          <cell r="A1469" t="str">
            <v>40210-45002-00</v>
          </cell>
          <cell r="F1469">
            <v>-484010.23</v>
          </cell>
        </row>
        <row r="1470">
          <cell r="A1470" t="str">
            <v>40210-45003-00</v>
          </cell>
          <cell r="F1470">
            <v>-11566.37</v>
          </cell>
        </row>
        <row r="1471">
          <cell r="A1471" t="str">
            <v>40210-45005-00</v>
          </cell>
          <cell r="F1471">
            <v>-67414.080000000002</v>
          </cell>
        </row>
        <row r="1472">
          <cell r="A1472" t="str">
            <v>40210-45009-00</v>
          </cell>
          <cell r="F1472">
            <v>-181.06</v>
          </cell>
        </row>
        <row r="1473">
          <cell r="A1473" t="str">
            <v>40210-45029-00</v>
          </cell>
          <cell r="F1473">
            <v>-39455.85</v>
          </cell>
        </row>
        <row r="1474">
          <cell r="A1474" t="str">
            <v>40210-45030-00</v>
          </cell>
          <cell r="F1474">
            <v>-75105.34</v>
          </cell>
        </row>
        <row r="1475">
          <cell r="A1475" t="str">
            <v>40210-45031-00</v>
          </cell>
          <cell r="F1475">
            <v>-7563.27</v>
          </cell>
        </row>
        <row r="1476">
          <cell r="A1476" t="str">
            <v>40210-45032-00</v>
          </cell>
          <cell r="F1476">
            <v>-6892.43</v>
          </cell>
        </row>
        <row r="1477">
          <cell r="A1477" t="str">
            <v>40210-45052-00</v>
          </cell>
          <cell r="F1477">
            <v>0</v>
          </cell>
        </row>
        <row r="1478">
          <cell r="A1478" t="str">
            <v>40280-00000-00</v>
          </cell>
          <cell r="F1478">
            <v>0</v>
          </cell>
        </row>
        <row r="1479">
          <cell r="A1479" t="str">
            <v>40280-11005-00</v>
          </cell>
          <cell r="F1479">
            <v>0</v>
          </cell>
        </row>
        <row r="1480">
          <cell r="A1480" t="str">
            <v>40280-15001-00</v>
          </cell>
          <cell r="F1480">
            <v>-21011264.550000001</v>
          </cell>
        </row>
        <row r="1481">
          <cell r="A1481" t="str">
            <v>40280-15005-00</v>
          </cell>
          <cell r="F1481">
            <v>0</v>
          </cell>
        </row>
        <row r="1482">
          <cell r="A1482" t="str">
            <v>40290-00000-00</v>
          </cell>
          <cell r="F1482">
            <v>0</v>
          </cell>
        </row>
        <row r="1483">
          <cell r="A1483" t="str">
            <v>40290-11005-00</v>
          </cell>
          <cell r="F1483">
            <v>0</v>
          </cell>
        </row>
        <row r="1484">
          <cell r="A1484" t="str">
            <v>40290-15001-00</v>
          </cell>
          <cell r="F1484">
            <v>-82626778.849999994</v>
          </cell>
        </row>
        <row r="1485">
          <cell r="A1485" t="str">
            <v>40290-15005-00</v>
          </cell>
          <cell r="F1485">
            <v>0</v>
          </cell>
        </row>
        <row r="1486">
          <cell r="A1486" t="str">
            <v>40290-43001-00</v>
          </cell>
          <cell r="F1486">
            <v>0</v>
          </cell>
        </row>
        <row r="1487">
          <cell r="A1487" t="str">
            <v>40290-43029-00</v>
          </cell>
          <cell r="F1487">
            <v>0</v>
          </cell>
        </row>
        <row r="1488">
          <cell r="A1488" t="str">
            <v>40300-00000-00</v>
          </cell>
          <cell r="F1488">
            <v>0</v>
          </cell>
        </row>
        <row r="1489">
          <cell r="A1489" t="str">
            <v>40300-11005-00</v>
          </cell>
          <cell r="F1489">
            <v>0</v>
          </cell>
        </row>
        <row r="1490">
          <cell r="A1490" t="str">
            <v>40300-14001-00</v>
          </cell>
          <cell r="F1490">
            <v>-4342684.82</v>
          </cell>
        </row>
        <row r="1491">
          <cell r="A1491" t="str">
            <v>40300-14049-00</v>
          </cell>
          <cell r="F1491">
            <v>-384809.81</v>
          </cell>
        </row>
        <row r="1492">
          <cell r="A1492" t="str">
            <v>40300-31022-00</v>
          </cell>
          <cell r="F1492">
            <v>0</v>
          </cell>
        </row>
        <row r="1493">
          <cell r="A1493" t="str">
            <v>40300-31072-00</v>
          </cell>
          <cell r="F1493">
            <v>-46931.040000000001</v>
          </cell>
        </row>
        <row r="1494">
          <cell r="A1494" t="str">
            <v>40300-41001-00</v>
          </cell>
          <cell r="F1494">
            <v>-10954232.65</v>
          </cell>
        </row>
        <row r="1495">
          <cell r="A1495" t="str">
            <v>40300-41002-00</v>
          </cell>
          <cell r="F1495">
            <v>-3617717.66</v>
          </cell>
        </row>
        <row r="1496">
          <cell r="A1496" t="str">
            <v>40300-41003-00</v>
          </cell>
          <cell r="F1496">
            <v>-5271608.3600000003</v>
          </cell>
        </row>
        <row r="1497">
          <cell r="A1497" t="str">
            <v>40300-41004-00</v>
          </cell>
          <cell r="F1497">
            <v>-3136907.13</v>
          </cell>
        </row>
        <row r="1498">
          <cell r="A1498" t="str">
            <v>40300-41005-00</v>
          </cell>
          <cell r="F1498">
            <v>-1075273.78</v>
          </cell>
        </row>
        <row r="1499">
          <cell r="A1499" t="str">
            <v>40300-41009-00</v>
          </cell>
          <cell r="F1499">
            <v>-951206.63</v>
          </cell>
        </row>
        <row r="1500">
          <cell r="A1500" t="str">
            <v>40300-41029-00</v>
          </cell>
          <cell r="F1500">
            <v>-291880.09999999998</v>
          </cell>
        </row>
        <row r="1501">
          <cell r="A1501" t="str">
            <v>40300-41030-00</v>
          </cell>
          <cell r="F1501">
            <v>-959782.19</v>
          </cell>
        </row>
        <row r="1502">
          <cell r="A1502" t="str">
            <v>40300-41031-00</v>
          </cell>
          <cell r="F1502">
            <v>-870812.99</v>
          </cell>
        </row>
        <row r="1503">
          <cell r="A1503" t="str">
            <v>40300-41032-00</v>
          </cell>
          <cell r="F1503">
            <v>-284871.57</v>
          </cell>
        </row>
        <row r="1504">
          <cell r="A1504" t="str">
            <v>40300-41041-00</v>
          </cell>
          <cell r="F1504">
            <v>-80459.97</v>
          </cell>
        </row>
        <row r="1505">
          <cell r="A1505" t="str">
            <v>40300-41049-00</v>
          </cell>
          <cell r="F1505">
            <v>-192286.82</v>
          </cell>
        </row>
        <row r="1506">
          <cell r="A1506" t="str">
            <v>40300-41052-00</v>
          </cell>
          <cell r="F1506">
            <v>0</v>
          </cell>
        </row>
        <row r="1507">
          <cell r="A1507" t="str">
            <v>40360-00000-00</v>
          </cell>
          <cell r="F1507">
            <v>0</v>
          </cell>
        </row>
        <row r="1508">
          <cell r="A1508" t="str">
            <v>40360-11005-00</v>
          </cell>
          <cell r="F1508">
            <v>0</v>
          </cell>
        </row>
        <row r="1509">
          <cell r="A1509" t="str">
            <v>40360-31011-00</v>
          </cell>
          <cell r="F1509">
            <v>-63783.6</v>
          </cell>
        </row>
        <row r="1510">
          <cell r="A1510" t="str">
            <v>40360-31048-00</v>
          </cell>
          <cell r="F1510">
            <v>0</v>
          </cell>
        </row>
        <row r="1511">
          <cell r="A1511" t="str">
            <v>40360-45001-00</v>
          </cell>
          <cell r="F1511">
            <v>-2328995.2599999998</v>
          </cell>
        </row>
        <row r="1512">
          <cell r="A1512" t="str">
            <v>40360-45002-00</v>
          </cell>
          <cell r="F1512">
            <v>-10959072.560000001</v>
          </cell>
        </row>
        <row r="1513">
          <cell r="A1513" t="str">
            <v>40360-45003-00</v>
          </cell>
          <cell r="F1513">
            <v>-14410.29</v>
          </cell>
        </row>
        <row r="1514">
          <cell r="A1514" t="str">
            <v>40360-45005-00</v>
          </cell>
          <cell r="F1514">
            <v>-679371.98</v>
          </cell>
        </row>
        <row r="1515">
          <cell r="A1515" t="str">
            <v>40360-45009-00</v>
          </cell>
          <cell r="F1515">
            <v>-6924.93</v>
          </cell>
        </row>
        <row r="1516">
          <cell r="A1516" t="str">
            <v>40360-45029-00</v>
          </cell>
          <cell r="F1516">
            <v>-2564473.73</v>
          </cell>
        </row>
        <row r="1517">
          <cell r="A1517" t="str">
            <v>40360-45030-00</v>
          </cell>
          <cell r="F1517">
            <v>-327739.52000000002</v>
          </cell>
        </row>
        <row r="1518">
          <cell r="A1518" t="str">
            <v>40360-45031-00</v>
          </cell>
          <cell r="F1518">
            <v>-133316.19</v>
          </cell>
        </row>
        <row r="1519">
          <cell r="A1519" t="str">
            <v>40360-45032-00</v>
          </cell>
          <cell r="F1519">
            <v>-24632.400000000001</v>
          </cell>
        </row>
        <row r="1520">
          <cell r="A1520" t="str">
            <v>40360-45052-00</v>
          </cell>
          <cell r="F1520">
            <v>-288349.17</v>
          </cell>
        </row>
        <row r="1521">
          <cell r="A1521" t="str">
            <v>40380-00000-00</v>
          </cell>
          <cell r="F1521">
            <v>0</v>
          </cell>
        </row>
        <row r="1522">
          <cell r="A1522" t="str">
            <v>40380-14049-00</v>
          </cell>
          <cell r="F1522">
            <v>-75188.289999999994</v>
          </cell>
        </row>
        <row r="1523">
          <cell r="A1523" t="str">
            <v>40380-43005-00</v>
          </cell>
          <cell r="F1523">
            <v>0</v>
          </cell>
        </row>
        <row r="1524">
          <cell r="A1524" t="str">
            <v>40380-45001-00</v>
          </cell>
          <cell r="F1524">
            <v>0</v>
          </cell>
        </row>
        <row r="1525">
          <cell r="A1525" t="str">
            <v>40380-45002-00</v>
          </cell>
          <cell r="F1525">
            <v>0</v>
          </cell>
        </row>
        <row r="1526">
          <cell r="A1526" t="str">
            <v>40380-45003-00</v>
          </cell>
          <cell r="F1526">
            <v>0</v>
          </cell>
        </row>
        <row r="1527">
          <cell r="A1527" t="str">
            <v>40380-45005-00</v>
          </cell>
          <cell r="F1527">
            <v>0</v>
          </cell>
        </row>
        <row r="1528">
          <cell r="A1528" t="str">
            <v>40380-45009-00</v>
          </cell>
          <cell r="F1528">
            <v>0</v>
          </cell>
        </row>
        <row r="1529">
          <cell r="A1529" t="str">
            <v>40380-45029-00</v>
          </cell>
          <cell r="F1529">
            <v>0</v>
          </cell>
        </row>
        <row r="1530">
          <cell r="A1530" t="str">
            <v>40380-45030-00</v>
          </cell>
          <cell r="F1530">
            <v>0</v>
          </cell>
        </row>
        <row r="1531">
          <cell r="A1531" t="str">
            <v>40380-45031-00</v>
          </cell>
          <cell r="F1531">
            <v>0</v>
          </cell>
        </row>
        <row r="1532">
          <cell r="A1532" t="str">
            <v>40380-45032-00</v>
          </cell>
          <cell r="F1532">
            <v>0</v>
          </cell>
        </row>
        <row r="1533">
          <cell r="A1533" t="str">
            <v>40380-45052-00</v>
          </cell>
          <cell r="F1533">
            <v>0</v>
          </cell>
        </row>
        <row r="1534">
          <cell r="A1534" t="str">
            <v>40400-00000-00</v>
          </cell>
          <cell r="F1534">
            <v>0</v>
          </cell>
        </row>
        <row r="1535">
          <cell r="A1535" t="str">
            <v>40400-61030-00</v>
          </cell>
          <cell r="F1535">
            <v>-266254.81</v>
          </cell>
        </row>
        <row r="1536">
          <cell r="A1536" t="str">
            <v>40400-61031-00</v>
          </cell>
          <cell r="F1536">
            <v>-3597942.17</v>
          </cell>
        </row>
        <row r="1537">
          <cell r="A1537" t="str">
            <v>40410-00000-00</v>
          </cell>
          <cell r="F1537">
            <v>0</v>
          </cell>
        </row>
        <row r="1538">
          <cell r="A1538" t="str">
            <v>40410-62030-00</v>
          </cell>
          <cell r="F1538">
            <v>-3419651.07</v>
          </cell>
        </row>
        <row r="1539">
          <cell r="A1539" t="str">
            <v>40410-62032-00</v>
          </cell>
          <cell r="F1539">
            <v>-24976.87</v>
          </cell>
        </row>
        <row r="1540">
          <cell r="A1540" t="str">
            <v>40420-63030-00</v>
          </cell>
          <cell r="F1540">
            <v>-776275.25</v>
          </cell>
        </row>
        <row r="1541">
          <cell r="A1541" t="str">
            <v>40420-63032-00</v>
          </cell>
          <cell r="F1541">
            <v>-402204.89</v>
          </cell>
        </row>
        <row r="1542">
          <cell r="A1542" t="str">
            <v>40430-64032-00</v>
          </cell>
          <cell r="F1542">
            <v>-10195.82</v>
          </cell>
        </row>
        <row r="1543">
          <cell r="A1543" t="str">
            <v>40500-00000-00</v>
          </cell>
          <cell r="F1543">
            <v>0</v>
          </cell>
        </row>
        <row r="1544">
          <cell r="A1544" t="str">
            <v>40500-15001-00</v>
          </cell>
          <cell r="F1544">
            <v>-212801.72</v>
          </cell>
        </row>
        <row r="1545">
          <cell r="A1545" t="str">
            <v>40500-15005-00</v>
          </cell>
          <cell r="F1545">
            <v>0</v>
          </cell>
        </row>
        <row r="1546">
          <cell r="A1546" t="str">
            <v>40500-41001-00</v>
          </cell>
          <cell r="F1546">
            <v>-277748.62</v>
          </cell>
        </row>
        <row r="1547">
          <cell r="A1547" t="str">
            <v>40500-41002-00</v>
          </cell>
          <cell r="F1547">
            <v>-40263.85</v>
          </cell>
        </row>
        <row r="1548">
          <cell r="A1548" t="str">
            <v>40500-41003-00</v>
          </cell>
          <cell r="F1548">
            <v>-135919.34</v>
          </cell>
        </row>
        <row r="1549">
          <cell r="A1549" t="str">
            <v>40500-41004-00</v>
          </cell>
          <cell r="F1549">
            <v>-32409.56</v>
          </cell>
        </row>
        <row r="1550">
          <cell r="A1550" t="str">
            <v>40500-41005-00</v>
          </cell>
          <cell r="F1550">
            <v>-41159.03</v>
          </cell>
        </row>
        <row r="1551">
          <cell r="A1551" t="str">
            <v>40500-41009-00</v>
          </cell>
          <cell r="F1551">
            <v>-21221.21</v>
          </cell>
        </row>
        <row r="1552">
          <cell r="A1552" t="str">
            <v>40500-41029-00</v>
          </cell>
          <cell r="F1552">
            <v>-29875.4</v>
          </cell>
        </row>
        <row r="1553">
          <cell r="A1553" t="str">
            <v>40500-41030-00</v>
          </cell>
          <cell r="F1553">
            <v>-42611.519999999997</v>
          </cell>
        </row>
        <row r="1554">
          <cell r="A1554" t="str">
            <v>40500-41031-00</v>
          </cell>
          <cell r="F1554">
            <v>380.55</v>
          </cell>
        </row>
        <row r="1555">
          <cell r="A1555" t="str">
            <v>40500-41032-00</v>
          </cell>
          <cell r="F1555">
            <v>0</v>
          </cell>
        </row>
        <row r="1556">
          <cell r="A1556" t="str">
            <v>40500-41041-00</v>
          </cell>
          <cell r="F1556">
            <v>-7284.45</v>
          </cell>
        </row>
        <row r="1557">
          <cell r="A1557" t="str">
            <v>40500-41049-00</v>
          </cell>
          <cell r="F1557">
            <v>-2561.5100000000002</v>
          </cell>
        </row>
        <row r="1558">
          <cell r="A1558" t="str">
            <v>40500-41052-00</v>
          </cell>
          <cell r="F1558">
            <v>0</v>
          </cell>
        </row>
        <row r="1559">
          <cell r="A1559" t="str">
            <v>40500-43001-00</v>
          </cell>
          <cell r="F1559">
            <v>0</v>
          </cell>
        </row>
        <row r="1560">
          <cell r="A1560" t="str">
            <v>40500-43002-00</v>
          </cell>
          <cell r="F1560">
            <v>-360</v>
          </cell>
        </row>
        <row r="1561">
          <cell r="A1561" t="str">
            <v>40500-43003-00</v>
          </cell>
          <cell r="F1561">
            <v>0</v>
          </cell>
        </row>
        <row r="1562">
          <cell r="A1562" t="str">
            <v>40500-43005-00</v>
          </cell>
          <cell r="F1562">
            <v>0</v>
          </cell>
        </row>
        <row r="1563">
          <cell r="A1563" t="str">
            <v>40500-43009-00</v>
          </cell>
          <cell r="F1563">
            <v>0</v>
          </cell>
        </row>
        <row r="1564">
          <cell r="A1564" t="str">
            <v>40500-43029-00</v>
          </cell>
          <cell r="F1564">
            <v>0</v>
          </cell>
        </row>
        <row r="1565">
          <cell r="A1565" t="str">
            <v>40500-43030-00</v>
          </cell>
          <cell r="F1565">
            <v>-38848.36</v>
          </cell>
        </row>
        <row r="1566">
          <cell r="A1566" t="str">
            <v>40500-43031-00</v>
          </cell>
          <cell r="F1566">
            <v>-14112.72</v>
          </cell>
        </row>
        <row r="1567">
          <cell r="A1567" t="str">
            <v>40500-43032-00</v>
          </cell>
          <cell r="F1567">
            <v>0</v>
          </cell>
        </row>
        <row r="1568">
          <cell r="A1568" t="str">
            <v>40500-43041-00</v>
          </cell>
          <cell r="F1568">
            <v>-5364.08</v>
          </cell>
        </row>
        <row r="1569">
          <cell r="A1569" t="str">
            <v>40500-43052-00</v>
          </cell>
          <cell r="F1569">
            <v>0</v>
          </cell>
        </row>
        <row r="1570">
          <cell r="A1570" t="str">
            <v>40500-45001-00</v>
          </cell>
          <cell r="F1570">
            <v>-21073.49</v>
          </cell>
        </row>
        <row r="1571">
          <cell r="A1571" t="str">
            <v>40500-45002-00</v>
          </cell>
          <cell r="F1571">
            <v>-49362.87</v>
          </cell>
        </row>
        <row r="1572">
          <cell r="A1572" t="str">
            <v>40500-45003-00</v>
          </cell>
          <cell r="F1572">
            <v>-1776.3</v>
          </cell>
        </row>
        <row r="1573">
          <cell r="A1573" t="str">
            <v>40500-45005-00</v>
          </cell>
          <cell r="F1573">
            <v>-28382.7</v>
          </cell>
        </row>
        <row r="1574">
          <cell r="A1574" t="str">
            <v>40500-45009-00</v>
          </cell>
          <cell r="F1574">
            <v>-25</v>
          </cell>
        </row>
        <row r="1575">
          <cell r="A1575" t="str">
            <v>40500-45029-00</v>
          </cell>
          <cell r="F1575">
            <v>-2814.71</v>
          </cell>
        </row>
        <row r="1576">
          <cell r="A1576" t="str">
            <v>40500-45030-00</v>
          </cell>
          <cell r="F1576">
            <v>-1740.08</v>
          </cell>
        </row>
        <row r="1577">
          <cell r="A1577" t="str">
            <v>40500-45031-00</v>
          </cell>
          <cell r="F1577">
            <v>-16.98</v>
          </cell>
        </row>
        <row r="1578">
          <cell r="A1578" t="str">
            <v>40500-45032-00</v>
          </cell>
          <cell r="F1578">
            <v>0</v>
          </cell>
        </row>
        <row r="1579">
          <cell r="A1579" t="str">
            <v>40500-45052-00</v>
          </cell>
          <cell r="F1579">
            <v>0</v>
          </cell>
        </row>
        <row r="1580">
          <cell r="A1580" t="str">
            <v>40500-53001-00</v>
          </cell>
          <cell r="F1580">
            <v>0</v>
          </cell>
        </row>
        <row r="1581">
          <cell r="A1581" t="str">
            <v>40500-61030-00</v>
          </cell>
          <cell r="F1581">
            <v>0</v>
          </cell>
        </row>
        <row r="1582">
          <cell r="A1582" t="str">
            <v>40500-61031-00</v>
          </cell>
          <cell r="F1582">
            <v>0</v>
          </cell>
        </row>
        <row r="1583">
          <cell r="A1583" t="str">
            <v>40500-62030-00</v>
          </cell>
          <cell r="F1583">
            <v>0</v>
          </cell>
        </row>
        <row r="1584">
          <cell r="A1584" t="str">
            <v>40500-62032-00</v>
          </cell>
          <cell r="F1584">
            <v>0</v>
          </cell>
        </row>
        <row r="1585">
          <cell r="A1585" t="str">
            <v>40500-63030-00</v>
          </cell>
          <cell r="F1585">
            <v>0</v>
          </cell>
        </row>
        <row r="1586">
          <cell r="A1586" t="str">
            <v>40500-63032-00</v>
          </cell>
          <cell r="F1586">
            <v>0</v>
          </cell>
        </row>
        <row r="1587">
          <cell r="A1587" t="str">
            <v>40500-64032-00</v>
          </cell>
          <cell r="F1587">
            <v>0</v>
          </cell>
        </row>
        <row r="1588">
          <cell r="A1588" t="str">
            <v>40540-00000-00</v>
          </cell>
          <cell r="F1588">
            <v>0</v>
          </cell>
        </row>
        <row r="1589">
          <cell r="A1589" t="str">
            <v>40540-14049-00</v>
          </cell>
          <cell r="F1589">
            <v>0</v>
          </cell>
        </row>
        <row r="1590">
          <cell r="A1590" t="str">
            <v>40540-41001-00</v>
          </cell>
          <cell r="F1590">
            <v>-988194</v>
          </cell>
        </row>
        <row r="1591">
          <cell r="A1591" t="str">
            <v>40540-41002-00</v>
          </cell>
          <cell r="F1591">
            <v>-142239.85</v>
          </cell>
        </row>
        <row r="1592">
          <cell r="A1592" t="str">
            <v>40540-41003-00</v>
          </cell>
          <cell r="F1592">
            <v>-324296</v>
          </cell>
        </row>
        <row r="1593">
          <cell r="A1593" t="str">
            <v>40540-41004-00</v>
          </cell>
          <cell r="F1593">
            <v>-106607</v>
          </cell>
        </row>
        <row r="1594">
          <cell r="A1594" t="str">
            <v>40540-41005-00</v>
          </cell>
          <cell r="F1594">
            <v>-70741</v>
          </cell>
        </row>
        <row r="1595">
          <cell r="A1595" t="str">
            <v>40540-41009-00</v>
          </cell>
          <cell r="F1595">
            <v>-9727</v>
          </cell>
        </row>
        <row r="1596">
          <cell r="A1596" t="str">
            <v>40540-41029-00</v>
          </cell>
          <cell r="F1596">
            <v>-6200</v>
          </cell>
        </row>
        <row r="1597">
          <cell r="A1597" t="str">
            <v>40540-41030-00</v>
          </cell>
          <cell r="F1597">
            <v>-3036</v>
          </cell>
        </row>
        <row r="1598">
          <cell r="A1598" t="str">
            <v>40540-41031-00</v>
          </cell>
          <cell r="F1598">
            <v>0</v>
          </cell>
        </row>
        <row r="1599">
          <cell r="A1599" t="str">
            <v>40540-41032-00</v>
          </cell>
          <cell r="F1599">
            <v>0</v>
          </cell>
        </row>
        <row r="1600">
          <cell r="A1600" t="str">
            <v>40540-41041-00</v>
          </cell>
          <cell r="F1600">
            <v>-15498</v>
          </cell>
        </row>
        <row r="1601">
          <cell r="A1601" t="str">
            <v>40540-41049-00</v>
          </cell>
          <cell r="F1601">
            <v>-2450</v>
          </cell>
        </row>
        <row r="1602">
          <cell r="A1602" t="str">
            <v>40540-41052-00</v>
          </cell>
          <cell r="F1602">
            <v>0</v>
          </cell>
        </row>
        <row r="1603">
          <cell r="A1603" t="str">
            <v>40580-00000-00</v>
          </cell>
          <cell r="F1603">
            <v>0</v>
          </cell>
        </row>
        <row r="1604">
          <cell r="A1604" t="str">
            <v>40580-11001-00</v>
          </cell>
          <cell r="F1604">
            <v>-549058.24</v>
          </cell>
        </row>
        <row r="1605">
          <cell r="A1605" t="str">
            <v>40580-11005-00</v>
          </cell>
          <cell r="F1605">
            <v>0</v>
          </cell>
        </row>
        <row r="1606">
          <cell r="A1606" t="str">
            <v>40580-14001-00</v>
          </cell>
          <cell r="F1606">
            <v>0</v>
          </cell>
        </row>
        <row r="1607">
          <cell r="A1607" t="str">
            <v>40580-14049-00</v>
          </cell>
          <cell r="F1607">
            <v>0</v>
          </cell>
        </row>
        <row r="1608">
          <cell r="A1608" t="str">
            <v>40580-15001-00</v>
          </cell>
          <cell r="F1608">
            <v>-187887.26</v>
          </cell>
        </row>
        <row r="1609">
          <cell r="A1609" t="str">
            <v>40580-15005-00</v>
          </cell>
          <cell r="F1609">
            <v>0</v>
          </cell>
        </row>
        <row r="1610">
          <cell r="A1610" t="str">
            <v>40580-31010-00</v>
          </cell>
          <cell r="F1610">
            <v>-20266.2</v>
          </cell>
        </row>
        <row r="1611">
          <cell r="A1611" t="str">
            <v>40580-31011-00</v>
          </cell>
          <cell r="F1611">
            <v>0</v>
          </cell>
        </row>
        <row r="1612">
          <cell r="A1612" t="str">
            <v>40580-31012-00</v>
          </cell>
          <cell r="F1612">
            <v>0</v>
          </cell>
        </row>
        <row r="1613">
          <cell r="A1613" t="str">
            <v>40580-31013-00</v>
          </cell>
          <cell r="F1613">
            <v>0</v>
          </cell>
        </row>
        <row r="1614">
          <cell r="A1614" t="str">
            <v>40580-31014-00</v>
          </cell>
          <cell r="F1614">
            <v>0</v>
          </cell>
        </row>
        <row r="1615">
          <cell r="A1615" t="str">
            <v>40580-31015-00</v>
          </cell>
          <cell r="F1615">
            <v>0</v>
          </cell>
        </row>
        <row r="1616">
          <cell r="A1616" t="str">
            <v>40580-31016-00</v>
          </cell>
          <cell r="F1616">
            <v>0</v>
          </cell>
        </row>
        <row r="1617">
          <cell r="A1617" t="str">
            <v>40580-31017-00</v>
          </cell>
          <cell r="F1617">
            <v>0</v>
          </cell>
        </row>
        <row r="1618">
          <cell r="A1618" t="str">
            <v>40580-31018-00</v>
          </cell>
          <cell r="F1618">
            <v>-9322.0300000000007</v>
          </cell>
        </row>
        <row r="1619">
          <cell r="A1619" t="str">
            <v>40580-31019-00</v>
          </cell>
          <cell r="F1619">
            <v>-3673.43</v>
          </cell>
        </row>
        <row r="1620">
          <cell r="A1620" t="str">
            <v>40580-31020-00</v>
          </cell>
          <cell r="F1620">
            <v>0</v>
          </cell>
        </row>
        <row r="1621">
          <cell r="A1621" t="str">
            <v>40580-31021-00</v>
          </cell>
          <cell r="F1621">
            <v>0</v>
          </cell>
        </row>
        <row r="1622">
          <cell r="A1622" t="str">
            <v>40580-31022-00</v>
          </cell>
          <cell r="F1622">
            <v>0</v>
          </cell>
        </row>
        <row r="1623">
          <cell r="A1623" t="str">
            <v>40580-31023-00</v>
          </cell>
          <cell r="F1623">
            <v>-28773.67</v>
          </cell>
        </row>
        <row r="1624">
          <cell r="A1624" t="str">
            <v>40580-31024-00</v>
          </cell>
          <cell r="F1624">
            <v>0</v>
          </cell>
        </row>
        <row r="1625">
          <cell r="A1625" t="str">
            <v>40580-31025-00</v>
          </cell>
          <cell r="F1625">
            <v>0</v>
          </cell>
        </row>
        <row r="1626">
          <cell r="A1626" t="str">
            <v>40580-31026-00</v>
          </cell>
          <cell r="F1626">
            <v>0</v>
          </cell>
        </row>
        <row r="1627">
          <cell r="A1627" t="str">
            <v>40580-31027-00</v>
          </cell>
          <cell r="F1627">
            <v>0</v>
          </cell>
        </row>
        <row r="1628">
          <cell r="A1628" t="str">
            <v>40580-31028-00</v>
          </cell>
          <cell r="F1628">
            <v>-13614.58</v>
          </cell>
        </row>
        <row r="1629">
          <cell r="A1629" t="str">
            <v>40580-31029-00</v>
          </cell>
          <cell r="F1629">
            <v>0</v>
          </cell>
        </row>
        <row r="1630">
          <cell r="A1630" t="str">
            <v>40580-31030-00</v>
          </cell>
          <cell r="F1630">
            <v>-34128.230000000003</v>
          </cell>
        </row>
        <row r="1631">
          <cell r="A1631" t="str">
            <v>40580-31031-00</v>
          </cell>
          <cell r="F1631">
            <v>0</v>
          </cell>
        </row>
        <row r="1632">
          <cell r="A1632" t="str">
            <v>40580-31032-00</v>
          </cell>
          <cell r="F1632">
            <v>0</v>
          </cell>
        </row>
        <row r="1633">
          <cell r="A1633" t="str">
            <v>40580-31033-00</v>
          </cell>
          <cell r="F1633">
            <v>0</v>
          </cell>
        </row>
        <row r="1634">
          <cell r="A1634" t="str">
            <v>40580-31034-00</v>
          </cell>
          <cell r="F1634">
            <v>0</v>
          </cell>
        </row>
        <row r="1635">
          <cell r="A1635" t="str">
            <v>40580-31035-00</v>
          </cell>
          <cell r="F1635">
            <v>0</v>
          </cell>
        </row>
        <row r="1636">
          <cell r="A1636" t="str">
            <v>40580-31036-00</v>
          </cell>
          <cell r="F1636">
            <v>0</v>
          </cell>
        </row>
        <row r="1637">
          <cell r="A1637" t="str">
            <v>40580-31037-00</v>
          </cell>
          <cell r="F1637">
            <v>0</v>
          </cell>
        </row>
        <row r="1638">
          <cell r="A1638" t="str">
            <v>40580-31038-00</v>
          </cell>
          <cell r="F1638">
            <v>-948</v>
          </cell>
        </row>
        <row r="1639">
          <cell r="A1639" t="str">
            <v>40580-31039-00</v>
          </cell>
          <cell r="F1639">
            <v>0</v>
          </cell>
        </row>
        <row r="1640">
          <cell r="A1640" t="str">
            <v>40580-31040-00</v>
          </cell>
          <cell r="F1640">
            <v>-87.98</v>
          </cell>
        </row>
        <row r="1641">
          <cell r="A1641" t="str">
            <v>40580-31041-00</v>
          </cell>
          <cell r="F1641">
            <v>-6081.78</v>
          </cell>
        </row>
        <row r="1642">
          <cell r="A1642" t="str">
            <v>40580-31042-00</v>
          </cell>
          <cell r="F1642">
            <v>0</v>
          </cell>
        </row>
        <row r="1643">
          <cell r="A1643" t="str">
            <v>40580-31043-00</v>
          </cell>
          <cell r="F1643">
            <v>-29067.19</v>
          </cell>
        </row>
        <row r="1644">
          <cell r="A1644" t="str">
            <v>40580-31044-00</v>
          </cell>
          <cell r="F1644">
            <v>0</v>
          </cell>
        </row>
        <row r="1645">
          <cell r="A1645" t="str">
            <v>40580-31045-00</v>
          </cell>
          <cell r="F1645">
            <v>0</v>
          </cell>
        </row>
        <row r="1646">
          <cell r="A1646" t="str">
            <v>40580-31046-00</v>
          </cell>
          <cell r="F1646">
            <v>0</v>
          </cell>
        </row>
        <row r="1647">
          <cell r="A1647" t="str">
            <v>40580-31047-00</v>
          </cell>
          <cell r="F1647">
            <v>0</v>
          </cell>
        </row>
        <row r="1648">
          <cell r="A1648" t="str">
            <v>40580-31048-00</v>
          </cell>
          <cell r="F1648">
            <v>0</v>
          </cell>
        </row>
        <row r="1649">
          <cell r="A1649" t="str">
            <v>40580-31049-00</v>
          </cell>
          <cell r="F1649">
            <v>0</v>
          </cell>
        </row>
        <row r="1650">
          <cell r="A1650" t="str">
            <v>40580-31050-00</v>
          </cell>
          <cell r="F1650">
            <v>0</v>
          </cell>
        </row>
        <row r="1651">
          <cell r="A1651" t="str">
            <v>40580-31051-00</v>
          </cell>
          <cell r="F1651">
            <v>-695.15</v>
          </cell>
        </row>
        <row r="1652">
          <cell r="A1652" t="str">
            <v>40580-31053-00</v>
          </cell>
          <cell r="F1652">
            <v>0</v>
          </cell>
        </row>
        <row r="1653">
          <cell r="A1653" t="str">
            <v>40580-31054-00</v>
          </cell>
          <cell r="F1653">
            <v>-111445.77</v>
          </cell>
        </row>
        <row r="1654">
          <cell r="A1654" t="str">
            <v>40580-31055-00</v>
          </cell>
          <cell r="F1654">
            <v>0</v>
          </cell>
        </row>
        <row r="1655">
          <cell r="A1655" t="str">
            <v>40580-31056-00</v>
          </cell>
          <cell r="F1655">
            <v>0</v>
          </cell>
        </row>
        <row r="1656">
          <cell r="A1656" t="str">
            <v>40580-31057-00</v>
          </cell>
          <cell r="F1656">
            <v>-9108.86</v>
          </cell>
        </row>
        <row r="1657">
          <cell r="A1657" t="str">
            <v>40580-31058-00</v>
          </cell>
          <cell r="F1657">
            <v>0</v>
          </cell>
        </row>
        <row r="1658">
          <cell r="A1658" t="str">
            <v>40580-31059-00</v>
          </cell>
          <cell r="F1658">
            <v>0</v>
          </cell>
        </row>
        <row r="1659">
          <cell r="A1659" t="str">
            <v>40580-31060-00</v>
          </cell>
          <cell r="F1659">
            <v>0</v>
          </cell>
        </row>
        <row r="1660">
          <cell r="A1660" t="str">
            <v>40580-31061-00</v>
          </cell>
          <cell r="F1660">
            <v>0</v>
          </cell>
        </row>
        <row r="1661">
          <cell r="A1661" t="str">
            <v>40580-31062-00</v>
          </cell>
          <cell r="F1661">
            <v>0</v>
          </cell>
        </row>
        <row r="1662">
          <cell r="A1662" t="str">
            <v>40580-31063-00</v>
          </cell>
          <cell r="F1662">
            <v>0</v>
          </cell>
        </row>
        <row r="1663">
          <cell r="A1663" t="str">
            <v>40580-31064-00</v>
          </cell>
          <cell r="F1663">
            <v>0</v>
          </cell>
        </row>
        <row r="1664">
          <cell r="A1664" t="str">
            <v>40580-31065-00</v>
          </cell>
          <cell r="F1664">
            <v>0</v>
          </cell>
        </row>
        <row r="1665">
          <cell r="A1665" t="str">
            <v>40580-31066-00</v>
          </cell>
          <cell r="F1665">
            <v>0</v>
          </cell>
        </row>
        <row r="1666">
          <cell r="A1666" t="str">
            <v>40580-31067-00</v>
          </cell>
          <cell r="F1666">
            <v>0</v>
          </cell>
        </row>
        <row r="1667">
          <cell r="A1667" t="str">
            <v>40580-31068-00</v>
          </cell>
          <cell r="F1667">
            <v>-25</v>
          </cell>
        </row>
        <row r="1668">
          <cell r="A1668" t="str">
            <v>40580-31069-00</v>
          </cell>
          <cell r="F1668">
            <v>0</v>
          </cell>
        </row>
        <row r="1669">
          <cell r="A1669" t="str">
            <v>40580-31070-00</v>
          </cell>
          <cell r="F1669">
            <v>0</v>
          </cell>
        </row>
        <row r="1670">
          <cell r="A1670" t="str">
            <v>40580-31071-00</v>
          </cell>
          <cell r="F1670">
            <v>-2318.21</v>
          </cell>
        </row>
        <row r="1671">
          <cell r="A1671" t="str">
            <v>40580-31072-00</v>
          </cell>
          <cell r="F1671">
            <v>0</v>
          </cell>
        </row>
        <row r="1672">
          <cell r="A1672" t="str">
            <v>40580-31073-00</v>
          </cell>
          <cell r="F1672">
            <v>0</v>
          </cell>
        </row>
        <row r="1673">
          <cell r="A1673" t="str">
            <v>40580-31074-00</v>
          </cell>
          <cell r="F1673">
            <v>-11.4</v>
          </cell>
        </row>
        <row r="1674">
          <cell r="A1674" t="str">
            <v>40580-31075-00</v>
          </cell>
          <cell r="F1674">
            <v>0</v>
          </cell>
        </row>
        <row r="1675">
          <cell r="A1675" t="str">
            <v>40580-31076-00</v>
          </cell>
          <cell r="F1675">
            <v>0</v>
          </cell>
        </row>
        <row r="1676">
          <cell r="A1676" t="str">
            <v>40580-31077-00</v>
          </cell>
          <cell r="F1676">
            <v>0</v>
          </cell>
        </row>
        <row r="1677">
          <cell r="A1677" t="str">
            <v>40580-31078-00</v>
          </cell>
          <cell r="F1677">
            <v>0</v>
          </cell>
        </row>
        <row r="1678">
          <cell r="A1678" t="str">
            <v>40580-31900-00</v>
          </cell>
          <cell r="F1678">
            <v>-196831.39</v>
          </cell>
        </row>
        <row r="1679">
          <cell r="A1679" t="str">
            <v>40580-31910-00</v>
          </cell>
          <cell r="F1679">
            <v>-53942.54</v>
          </cell>
        </row>
        <row r="1680">
          <cell r="A1680" t="str">
            <v>40580-41001-00</v>
          </cell>
          <cell r="F1680">
            <v>-714261.56</v>
          </cell>
        </row>
        <row r="1681">
          <cell r="A1681" t="str">
            <v>40580-41002-00</v>
          </cell>
          <cell r="F1681">
            <v>-120428.06</v>
          </cell>
        </row>
        <row r="1682">
          <cell r="A1682" t="str">
            <v>40580-41003-00</v>
          </cell>
          <cell r="F1682">
            <v>-263956.7</v>
          </cell>
        </row>
        <row r="1683">
          <cell r="A1683" t="str">
            <v>40580-41004-00</v>
          </cell>
          <cell r="F1683">
            <v>-138504.73000000001</v>
          </cell>
        </row>
        <row r="1684">
          <cell r="A1684" t="str">
            <v>40580-41005-00</v>
          </cell>
          <cell r="F1684">
            <v>-35569.72</v>
          </cell>
        </row>
        <row r="1685">
          <cell r="A1685" t="str">
            <v>40580-41009-00</v>
          </cell>
          <cell r="F1685">
            <v>-33697</v>
          </cell>
        </row>
        <row r="1686">
          <cell r="A1686" t="str">
            <v>40580-41029-00</v>
          </cell>
          <cell r="F1686">
            <v>-7777</v>
          </cell>
        </row>
        <row r="1687">
          <cell r="A1687" t="str">
            <v>40580-41030-00</v>
          </cell>
          <cell r="F1687">
            <v>-42243</v>
          </cell>
        </row>
        <row r="1688">
          <cell r="A1688" t="str">
            <v>40580-41031-00</v>
          </cell>
          <cell r="F1688">
            <v>-19539</v>
          </cell>
        </row>
        <row r="1689">
          <cell r="A1689" t="str">
            <v>40580-41032-00</v>
          </cell>
          <cell r="F1689">
            <v>-2798</v>
          </cell>
        </row>
        <row r="1690">
          <cell r="A1690" t="str">
            <v>40580-41041-00</v>
          </cell>
          <cell r="F1690">
            <v>-3744.73</v>
          </cell>
        </row>
        <row r="1691">
          <cell r="A1691" t="str">
            <v>40580-41049-00</v>
          </cell>
          <cell r="F1691">
            <v>-1038</v>
          </cell>
        </row>
        <row r="1692">
          <cell r="A1692" t="str">
            <v>40580-41052-00</v>
          </cell>
          <cell r="F1692">
            <v>0</v>
          </cell>
        </row>
        <row r="1693">
          <cell r="A1693" t="str">
            <v>40580-43001-00</v>
          </cell>
          <cell r="F1693">
            <v>-11471.5</v>
          </cell>
        </row>
        <row r="1694">
          <cell r="A1694" t="str">
            <v>40580-43002-00</v>
          </cell>
          <cell r="F1694">
            <v>-400</v>
          </cell>
        </row>
        <row r="1695">
          <cell r="A1695" t="str">
            <v>40580-43003-00</v>
          </cell>
          <cell r="F1695">
            <v>-50</v>
          </cell>
        </row>
        <row r="1696">
          <cell r="A1696" t="str">
            <v>40580-43005-00</v>
          </cell>
          <cell r="F1696">
            <v>-18955</v>
          </cell>
        </row>
        <row r="1697">
          <cell r="A1697" t="str">
            <v>40580-43009-00</v>
          </cell>
          <cell r="F1697">
            <v>-25477.5</v>
          </cell>
        </row>
        <row r="1698">
          <cell r="A1698" t="str">
            <v>40580-43029-00</v>
          </cell>
          <cell r="F1698">
            <v>0</v>
          </cell>
        </row>
        <row r="1699">
          <cell r="A1699" t="str">
            <v>40580-43030-00</v>
          </cell>
          <cell r="F1699">
            <v>-36115</v>
          </cell>
        </row>
        <row r="1700">
          <cell r="A1700" t="str">
            <v>40580-43031-00</v>
          </cell>
          <cell r="F1700">
            <v>0</v>
          </cell>
        </row>
        <row r="1701">
          <cell r="A1701" t="str">
            <v>40580-43032-00</v>
          </cell>
          <cell r="F1701">
            <v>0</v>
          </cell>
        </row>
        <row r="1702">
          <cell r="A1702" t="str">
            <v>40580-43041-00</v>
          </cell>
          <cell r="F1702">
            <v>-20590</v>
          </cell>
        </row>
        <row r="1703">
          <cell r="A1703" t="str">
            <v>40580-43052-00</v>
          </cell>
          <cell r="F1703">
            <v>0</v>
          </cell>
        </row>
        <row r="1704">
          <cell r="A1704" t="str">
            <v>40580-45001-00</v>
          </cell>
          <cell r="F1704">
            <v>-80495.3</v>
          </cell>
        </row>
        <row r="1705">
          <cell r="A1705" t="str">
            <v>40580-45002-00</v>
          </cell>
          <cell r="F1705">
            <v>-178022.37</v>
          </cell>
        </row>
        <row r="1706">
          <cell r="A1706" t="str">
            <v>40580-45003-00</v>
          </cell>
          <cell r="F1706">
            <v>-45</v>
          </cell>
        </row>
        <row r="1707">
          <cell r="A1707" t="str">
            <v>40580-45005-00</v>
          </cell>
          <cell r="F1707">
            <v>-63831.65</v>
          </cell>
        </row>
        <row r="1708">
          <cell r="A1708" t="str">
            <v>40580-45009-00</v>
          </cell>
          <cell r="F1708">
            <v>-100</v>
          </cell>
        </row>
        <row r="1709">
          <cell r="A1709" t="str">
            <v>40580-45029-00</v>
          </cell>
          <cell r="F1709">
            <v>-56732.34</v>
          </cell>
        </row>
        <row r="1710">
          <cell r="A1710" t="str">
            <v>40580-45030-00</v>
          </cell>
          <cell r="F1710">
            <v>-1400</v>
          </cell>
        </row>
        <row r="1711">
          <cell r="A1711" t="str">
            <v>40580-45031-00</v>
          </cell>
          <cell r="F1711">
            <v>-500</v>
          </cell>
        </row>
        <row r="1712">
          <cell r="A1712" t="str">
            <v>40580-45032-00</v>
          </cell>
          <cell r="F1712">
            <v>-96.76</v>
          </cell>
        </row>
        <row r="1713">
          <cell r="A1713" t="str">
            <v>40580-45052-00</v>
          </cell>
          <cell r="F1713">
            <v>0</v>
          </cell>
        </row>
        <row r="1714">
          <cell r="A1714" t="str">
            <v>40580-51001-00</v>
          </cell>
          <cell r="F1714">
            <v>-91026.67</v>
          </cell>
        </row>
        <row r="1715">
          <cell r="A1715" t="str">
            <v>40580-51005-00</v>
          </cell>
          <cell r="F1715">
            <v>0</v>
          </cell>
        </row>
        <row r="1716">
          <cell r="A1716" t="str">
            <v>40580-53001-00</v>
          </cell>
          <cell r="F1716">
            <v>0</v>
          </cell>
        </row>
        <row r="1717">
          <cell r="A1717" t="str">
            <v>40580-61030-00</v>
          </cell>
          <cell r="F1717">
            <v>-12789.86</v>
          </cell>
        </row>
        <row r="1718">
          <cell r="A1718" t="str">
            <v>40580-61031-00</v>
          </cell>
          <cell r="F1718">
            <v>-302196.98</v>
          </cell>
        </row>
        <row r="1719">
          <cell r="A1719" t="str">
            <v>40580-62030-00</v>
          </cell>
          <cell r="F1719">
            <v>-2598.9499999999998</v>
          </cell>
        </row>
        <row r="1720">
          <cell r="A1720" t="str">
            <v>40580-62032-00</v>
          </cell>
          <cell r="F1720">
            <v>0</v>
          </cell>
        </row>
        <row r="1721">
          <cell r="A1721" t="str">
            <v>40580-63030-00</v>
          </cell>
          <cell r="F1721">
            <v>0</v>
          </cell>
        </row>
        <row r="1722">
          <cell r="A1722" t="str">
            <v>40580-63032-00</v>
          </cell>
          <cell r="F1722">
            <v>0</v>
          </cell>
        </row>
        <row r="1723">
          <cell r="A1723" t="str">
            <v>40580-64032-00</v>
          </cell>
          <cell r="F1723">
            <v>0</v>
          </cell>
        </row>
        <row r="1724">
          <cell r="A1724" t="str">
            <v>42000-00000-00</v>
          </cell>
          <cell r="F1724">
            <v>0</v>
          </cell>
        </row>
        <row r="1725">
          <cell r="A1725" t="str">
            <v>42000-11001-00</v>
          </cell>
          <cell r="F1725">
            <v>-400676.25</v>
          </cell>
        </row>
        <row r="1726">
          <cell r="A1726" t="str">
            <v>42000-11005-00</v>
          </cell>
          <cell r="F1726">
            <v>0</v>
          </cell>
        </row>
        <row r="1727">
          <cell r="A1727" t="str">
            <v>42000-14001-00</v>
          </cell>
          <cell r="F1727">
            <v>-2831.38</v>
          </cell>
        </row>
        <row r="1728">
          <cell r="A1728" t="str">
            <v>42000-14049-00</v>
          </cell>
          <cell r="F1728">
            <v>0</v>
          </cell>
        </row>
        <row r="1729">
          <cell r="A1729" t="str">
            <v>42000-15001-00</v>
          </cell>
          <cell r="F1729">
            <v>-371919.64</v>
          </cell>
        </row>
        <row r="1730">
          <cell r="A1730" t="str">
            <v>42000-15005-00</v>
          </cell>
          <cell r="F1730">
            <v>0</v>
          </cell>
        </row>
        <row r="1731">
          <cell r="A1731" t="str">
            <v>42000-45001-00</v>
          </cell>
          <cell r="F1731">
            <v>-1378.88</v>
          </cell>
        </row>
        <row r="1732">
          <cell r="A1732" t="str">
            <v>42000-45030-00</v>
          </cell>
          <cell r="F1732">
            <v>0</v>
          </cell>
        </row>
        <row r="1733">
          <cell r="A1733" t="str">
            <v>42000-45031-00</v>
          </cell>
          <cell r="F1733">
            <v>0</v>
          </cell>
        </row>
        <row r="1734">
          <cell r="A1734" t="str">
            <v>42000-45032-00</v>
          </cell>
          <cell r="F1734">
            <v>0</v>
          </cell>
        </row>
        <row r="1735">
          <cell r="A1735" t="str">
            <v>42000-51001-00</v>
          </cell>
          <cell r="F1735">
            <v>-21941400.75</v>
          </cell>
        </row>
        <row r="1736">
          <cell r="A1736" t="str">
            <v>42000-51005-00</v>
          </cell>
          <cell r="F1736">
            <v>0</v>
          </cell>
        </row>
        <row r="1737">
          <cell r="A1737" t="str">
            <v>42020-51001-00</v>
          </cell>
          <cell r="F1737">
            <v>-1372463.53</v>
          </cell>
        </row>
        <row r="1738">
          <cell r="A1738" t="str">
            <v>42020-51005-00</v>
          </cell>
          <cell r="F1738">
            <v>0</v>
          </cell>
        </row>
        <row r="1739">
          <cell r="F1739">
            <v>-747561216.13999999</v>
          </cell>
        </row>
        <row r="1740">
          <cell r="A1740" t="str">
            <v>Cost of Sales</v>
          </cell>
        </row>
        <row r="1741">
          <cell r="A1741" t="str">
            <v>50110-00000-00</v>
          </cell>
          <cell r="F1741">
            <v>0</v>
          </cell>
        </row>
        <row r="1742">
          <cell r="A1742" t="str">
            <v>50110-11001-00</v>
          </cell>
          <cell r="F1742">
            <v>314240532.72000003</v>
          </cell>
        </row>
        <row r="1743">
          <cell r="A1743" t="str">
            <v>50110-11005-00</v>
          </cell>
          <cell r="F1743">
            <v>0</v>
          </cell>
        </row>
        <row r="1744">
          <cell r="A1744" t="str">
            <v>50110-13006-00</v>
          </cell>
          <cell r="F1744">
            <v>0</v>
          </cell>
        </row>
        <row r="1745">
          <cell r="A1745" t="str">
            <v>50110-13007-00</v>
          </cell>
          <cell r="F1745">
            <v>0</v>
          </cell>
        </row>
        <row r="1746">
          <cell r="A1746" t="str">
            <v>50110-31010-00</v>
          </cell>
          <cell r="F1746">
            <v>459994.63</v>
          </cell>
        </row>
        <row r="1747">
          <cell r="A1747" t="str">
            <v>50110-31011-00</v>
          </cell>
          <cell r="F1747">
            <v>914547.47</v>
          </cell>
        </row>
        <row r="1748">
          <cell r="A1748" t="str">
            <v>50110-31012-00</v>
          </cell>
          <cell r="F1748">
            <v>49489.22</v>
          </cell>
        </row>
        <row r="1749">
          <cell r="A1749" t="str">
            <v>50110-31013-00</v>
          </cell>
          <cell r="F1749">
            <v>341963.29</v>
          </cell>
        </row>
        <row r="1750">
          <cell r="A1750" t="str">
            <v>50110-31014-00</v>
          </cell>
          <cell r="F1750">
            <v>0</v>
          </cell>
        </row>
        <row r="1751">
          <cell r="A1751" t="str">
            <v>50110-31015-00</v>
          </cell>
          <cell r="F1751">
            <v>0</v>
          </cell>
        </row>
        <row r="1752">
          <cell r="A1752" t="str">
            <v>50110-31016-00</v>
          </cell>
          <cell r="F1752">
            <v>0</v>
          </cell>
        </row>
        <row r="1753">
          <cell r="A1753" t="str">
            <v>50110-31017-00</v>
          </cell>
          <cell r="F1753">
            <v>51694.36</v>
          </cell>
        </row>
        <row r="1754">
          <cell r="A1754" t="str">
            <v>50110-31018-00</v>
          </cell>
          <cell r="F1754">
            <v>124601.19</v>
          </cell>
        </row>
        <row r="1755">
          <cell r="A1755" t="str">
            <v>50110-31019-00</v>
          </cell>
          <cell r="F1755">
            <v>19035.71</v>
          </cell>
        </row>
        <row r="1756">
          <cell r="A1756" t="str">
            <v>50110-31020-00</v>
          </cell>
          <cell r="F1756">
            <v>0</v>
          </cell>
        </row>
        <row r="1757">
          <cell r="A1757" t="str">
            <v>50110-31021-00</v>
          </cell>
          <cell r="F1757">
            <v>53947.6</v>
          </cell>
        </row>
        <row r="1758">
          <cell r="A1758" t="str">
            <v>50110-31022-00</v>
          </cell>
          <cell r="F1758">
            <v>49130.6</v>
          </cell>
        </row>
        <row r="1759">
          <cell r="A1759" t="str">
            <v>50110-31023-00</v>
          </cell>
          <cell r="F1759">
            <v>93504.53</v>
          </cell>
        </row>
        <row r="1760">
          <cell r="A1760" t="str">
            <v>50110-31024-00</v>
          </cell>
          <cell r="F1760">
            <v>0</v>
          </cell>
        </row>
        <row r="1761">
          <cell r="A1761" t="str">
            <v>50110-31025-00</v>
          </cell>
          <cell r="F1761">
            <v>66514.95</v>
          </cell>
        </row>
        <row r="1762">
          <cell r="A1762" t="str">
            <v>50110-31026-00</v>
          </cell>
          <cell r="F1762">
            <v>0</v>
          </cell>
        </row>
        <row r="1763">
          <cell r="A1763" t="str">
            <v>50110-31027-00</v>
          </cell>
          <cell r="F1763">
            <v>0</v>
          </cell>
        </row>
        <row r="1764">
          <cell r="A1764" t="str">
            <v>50110-31028-00</v>
          </cell>
          <cell r="F1764">
            <v>537097.94999999995</v>
          </cell>
        </row>
        <row r="1765">
          <cell r="A1765" t="str">
            <v>50110-31029-00</v>
          </cell>
          <cell r="F1765">
            <v>236685.59</v>
          </cell>
        </row>
        <row r="1766">
          <cell r="A1766" t="str">
            <v>50110-31030-00</v>
          </cell>
          <cell r="F1766">
            <v>227903.71</v>
          </cell>
        </row>
        <row r="1767">
          <cell r="A1767" t="str">
            <v>50110-31031-00</v>
          </cell>
          <cell r="F1767">
            <v>106680.46</v>
          </cell>
        </row>
        <row r="1768">
          <cell r="A1768" t="str">
            <v>50110-31032-00</v>
          </cell>
          <cell r="F1768">
            <v>212691.37</v>
          </cell>
        </row>
        <row r="1769">
          <cell r="A1769" t="str">
            <v>50110-31033-00</v>
          </cell>
          <cell r="F1769">
            <v>462600.47</v>
          </cell>
        </row>
        <row r="1770">
          <cell r="A1770" t="str">
            <v>50110-31034-00</v>
          </cell>
          <cell r="F1770">
            <v>0</v>
          </cell>
        </row>
        <row r="1771">
          <cell r="A1771" t="str">
            <v>50110-31035-00</v>
          </cell>
          <cell r="F1771">
            <v>0</v>
          </cell>
        </row>
        <row r="1772">
          <cell r="A1772" t="str">
            <v>50110-31036-00</v>
          </cell>
          <cell r="F1772">
            <v>0</v>
          </cell>
        </row>
        <row r="1773">
          <cell r="A1773" t="str">
            <v>50110-31037-00</v>
          </cell>
          <cell r="F1773">
            <v>0</v>
          </cell>
        </row>
        <row r="1774">
          <cell r="A1774" t="str">
            <v>50110-31038-00</v>
          </cell>
          <cell r="F1774">
            <v>175710.97</v>
          </cell>
        </row>
        <row r="1775">
          <cell r="A1775" t="str">
            <v>50110-31039-00</v>
          </cell>
          <cell r="F1775">
            <v>48014.22</v>
          </cell>
        </row>
        <row r="1776">
          <cell r="A1776" t="str">
            <v>50110-31040-00</v>
          </cell>
          <cell r="F1776">
            <v>18929.560000000001</v>
          </cell>
        </row>
        <row r="1777">
          <cell r="A1777" t="str">
            <v>50110-31041-00</v>
          </cell>
          <cell r="F1777">
            <v>183871.73</v>
          </cell>
        </row>
        <row r="1778">
          <cell r="A1778" t="str">
            <v>50110-31042-00</v>
          </cell>
          <cell r="F1778">
            <v>63281.71</v>
          </cell>
        </row>
        <row r="1779">
          <cell r="A1779" t="str">
            <v>50110-31043-00</v>
          </cell>
          <cell r="F1779">
            <v>601470.88</v>
          </cell>
        </row>
        <row r="1780">
          <cell r="A1780" t="str">
            <v>50110-31044-00</v>
          </cell>
          <cell r="F1780">
            <v>0</v>
          </cell>
        </row>
        <row r="1781">
          <cell r="A1781" t="str">
            <v>50110-31045-00</v>
          </cell>
          <cell r="F1781">
            <v>0</v>
          </cell>
        </row>
        <row r="1782">
          <cell r="A1782" t="str">
            <v>50110-31046-00</v>
          </cell>
          <cell r="F1782">
            <v>305869.42</v>
          </cell>
        </row>
        <row r="1783">
          <cell r="A1783" t="str">
            <v>50110-31047-00</v>
          </cell>
          <cell r="F1783">
            <v>0</v>
          </cell>
        </row>
        <row r="1784">
          <cell r="A1784" t="str">
            <v>50110-31048-00</v>
          </cell>
          <cell r="F1784">
            <v>535916.14</v>
          </cell>
        </row>
        <row r="1785">
          <cell r="A1785" t="str">
            <v>50110-31049-00</v>
          </cell>
          <cell r="F1785">
            <v>0</v>
          </cell>
        </row>
        <row r="1786">
          <cell r="A1786" t="str">
            <v>50110-31050-00</v>
          </cell>
          <cell r="F1786">
            <v>0</v>
          </cell>
        </row>
        <row r="1787">
          <cell r="A1787" t="str">
            <v>50110-31051-00</v>
          </cell>
          <cell r="F1787">
            <v>75538.02</v>
          </cell>
        </row>
        <row r="1788">
          <cell r="A1788" t="str">
            <v>50110-31053-00</v>
          </cell>
          <cell r="F1788">
            <v>20124.87</v>
          </cell>
        </row>
        <row r="1789">
          <cell r="A1789" t="str">
            <v>50110-31054-00</v>
          </cell>
          <cell r="F1789">
            <v>1009274.96</v>
          </cell>
        </row>
        <row r="1790">
          <cell r="A1790" t="str">
            <v>50110-31055-00</v>
          </cell>
          <cell r="F1790">
            <v>37718.589999999997</v>
          </cell>
        </row>
        <row r="1791">
          <cell r="A1791" t="str">
            <v>50110-31056-00</v>
          </cell>
          <cell r="F1791">
            <v>0</v>
          </cell>
        </row>
        <row r="1792">
          <cell r="A1792" t="str">
            <v>50110-31057-00</v>
          </cell>
          <cell r="F1792">
            <v>275323.19</v>
          </cell>
        </row>
        <row r="1793">
          <cell r="A1793" t="str">
            <v>50110-31058-00</v>
          </cell>
          <cell r="F1793">
            <v>166.89</v>
          </cell>
        </row>
        <row r="1794">
          <cell r="A1794" t="str">
            <v>50110-31059-00</v>
          </cell>
          <cell r="F1794">
            <v>0</v>
          </cell>
        </row>
        <row r="1795">
          <cell r="A1795" t="str">
            <v>50110-31060-00</v>
          </cell>
          <cell r="F1795">
            <v>46340.21</v>
          </cell>
        </row>
        <row r="1796">
          <cell r="A1796" t="str">
            <v>50110-31061-00</v>
          </cell>
          <cell r="F1796">
            <v>0</v>
          </cell>
        </row>
        <row r="1797">
          <cell r="A1797" t="str">
            <v>50110-31062-00</v>
          </cell>
          <cell r="F1797">
            <v>308.37</v>
          </cell>
        </row>
        <row r="1798">
          <cell r="A1798" t="str">
            <v>50110-31063-00</v>
          </cell>
          <cell r="F1798">
            <v>2185.54</v>
          </cell>
        </row>
        <row r="1799">
          <cell r="A1799" t="str">
            <v>50110-31064-00</v>
          </cell>
          <cell r="F1799">
            <v>3487.03</v>
          </cell>
        </row>
        <row r="1800">
          <cell r="A1800" t="str">
            <v>50110-31065-00</v>
          </cell>
          <cell r="F1800">
            <v>556578.93000000005</v>
          </cell>
        </row>
        <row r="1801">
          <cell r="A1801" t="str">
            <v>50110-31066-00</v>
          </cell>
          <cell r="F1801">
            <v>74164.009999999995</v>
          </cell>
        </row>
        <row r="1802">
          <cell r="A1802" t="str">
            <v>50110-31067-00</v>
          </cell>
          <cell r="F1802">
            <v>120325.31</v>
          </cell>
        </row>
        <row r="1803">
          <cell r="A1803" t="str">
            <v>50110-31068-00</v>
          </cell>
          <cell r="F1803">
            <v>192391</v>
          </cell>
        </row>
        <row r="1804">
          <cell r="A1804" t="str">
            <v>50110-31069-00</v>
          </cell>
          <cell r="F1804">
            <v>362844.65</v>
          </cell>
        </row>
        <row r="1805">
          <cell r="A1805" t="str">
            <v>50110-31070-00</v>
          </cell>
          <cell r="F1805">
            <v>343972.04</v>
          </cell>
        </row>
        <row r="1806">
          <cell r="A1806" t="str">
            <v>50110-31071-00</v>
          </cell>
          <cell r="F1806">
            <v>11217.11</v>
          </cell>
        </row>
        <row r="1807">
          <cell r="A1807" t="str">
            <v>50110-31072-00</v>
          </cell>
          <cell r="F1807">
            <v>0</v>
          </cell>
        </row>
        <row r="1808">
          <cell r="A1808" t="str">
            <v>50110-31073-00</v>
          </cell>
          <cell r="F1808">
            <v>59394.57</v>
          </cell>
        </row>
        <row r="1809">
          <cell r="A1809" t="str">
            <v>50110-31074-00</v>
          </cell>
          <cell r="F1809">
            <v>52329.43</v>
          </cell>
        </row>
        <row r="1810">
          <cell r="A1810" t="str">
            <v>50110-31075-00</v>
          </cell>
          <cell r="F1810">
            <v>0</v>
          </cell>
        </row>
        <row r="1811">
          <cell r="A1811" t="str">
            <v>50110-31076-00</v>
          </cell>
          <cell r="F1811">
            <v>166.61</v>
          </cell>
        </row>
        <row r="1812">
          <cell r="A1812" t="str">
            <v>50110-31077-00</v>
          </cell>
          <cell r="F1812">
            <v>185203.21</v>
          </cell>
        </row>
        <row r="1813">
          <cell r="A1813" t="str">
            <v>50110-31078-00</v>
          </cell>
          <cell r="F1813">
            <v>1100.03</v>
          </cell>
        </row>
        <row r="1814">
          <cell r="A1814" t="str">
            <v>50110-31900-00</v>
          </cell>
          <cell r="F1814">
            <v>4649693.6399999997</v>
          </cell>
        </row>
        <row r="1815">
          <cell r="A1815" t="str">
            <v>50110-31910-00</v>
          </cell>
          <cell r="F1815">
            <v>1523932.21</v>
          </cell>
        </row>
        <row r="1816">
          <cell r="A1816" t="str">
            <v>50110-43001-00</v>
          </cell>
          <cell r="F1816">
            <v>1365486.88</v>
          </cell>
        </row>
        <row r="1817">
          <cell r="A1817" t="str">
            <v>50110-43002-00</v>
          </cell>
          <cell r="F1817">
            <v>123301.68</v>
          </cell>
        </row>
        <row r="1818">
          <cell r="A1818" t="str">
            <v>50110-43003-00</v>
          </cell>
          <cell r="F1818">
            <v>482796.99</v>
          </cell>
        </row>
        <row r="1819">
          <cell r="A1819" t="str">
            <v>50110-43005-00</v>
          </cell>
          <cell r="F1819">
            <v>830744.47</v>
          </cell>
        </row>
        <row r="1820">
          <cell r="A1820" t="str">
            <v>50110-43009-00</v>
          </cell>
          <cell r="F1820">
            <v>424511.17</v>
          </cell>
        </row>
        <row r="1821">
          <cell r="A1821" t="str">
            <v>50110-43029-00</v>
          </cell>
          <cell r="F1821">
            <v>58543.9</v>
          </cell>
        </row>
        <row r="1822">
          <cell r="A1822" t="str">
            <v>50110-43030-00</v>
          </cell>
          <cell r="F1822">
            <v>703507</v>
          </cell>
        </row>
        <row r="1823">
          <cell r="A1823" t="str">
            <v>50110-43031-00</v>
          </cell>
          <cell r="F1823">
            <v>243808.54</v>
          </cell>
        </row>
        <row r="1824">
          <cell r="A1824" t="str">
            <v>50110-43032-00</v>
          </cell>
          <cell r="F1824">
            <v>432413.73</v>
          </cell>
        </row>
        <row r="1825">
          <cell r="A1825" t="str">
            <v>50110-43041-00</v>
          </cell>
          <cell r="F1825">
            <v>423918.79</v>
          </cell>
        </row>
        <row r="1826">
          <cell r="A1826" t="str">
            <v>50110-43052-00</v>
          </cell>
          <cell r="F1826">
            <v>0</v>
          </cell>
        </row>
        <row r="1827">
          <cell r="A1827" t="str">
            <v>50110-45001-00</v>
          </cell>
          <cell r="F1827">
            <v>61664.99</v>
          </cell>
        </row>
        <row r="1828">
          <cell r="A1828" t="str">
            <v>50110-45002-00</v>
          </cell>
          <cell r="F1828">
            <v>237242.55</v>
          </cell>
        </row>
        <row r="1829">
          <cell r="A1829" t="str">
            <v>50110-45003-00</v>
          </cell>
          <cell r="F1829">
            <v>0</v>
          </cell>
        </row>
        <row r="1830">
          <cell r="A1830" t="str">
            <v>50110-45005-00</v>
          </cell>
          <cell r="F1830">
            <v>191438.01</v>
          </cell>
        </row>
        <row r="1831">
          <cell r="A1831" t="str">
            <v>50110-45009-00</v>
          </cell>
          <cell r="F1831">
            <v>3330.59</v>
          </cell>
        </row>
        <row r="1832">
          <cell r="A1832" t="str">
            <v>50110-45029-00</v>
          </cell>
          <cell r="F1832">
            <v>18168.439999999999</v>
          </cell>
        </row>
        <row r="1833">
          <cell r="A1833" t="str">
            <v>50110-45030-00</v>
          </cell>
          <cell r="F1833">
            <v>67888.78</v>
          </cell>
        </row>
        <row r="1834">
          <cell r="A1834" t="str">
            <v>50110-45031-00</v>
          </cell>
          <cell r="F1834">
            <v>170.61</v>
          </cell>
        </row>
        <row r="1835">
          <cell r="A1835" t="str">
            <v>50110-45032-00</v>
          </cell>
          <cell r="F1835">
            <v>158.22999999999999</v>
          </cell>
        </row>
        <row r="1836">
          <cell r="A1836" t="str">
            <v>50110-45052-00</v>
          </cell>
          <cell r="F1836">
            <v>0</v>
          </cell>
        </row>
        <row r="1837">
          <cell r="A1837" t="str">
            <v>50110-89001-00</v>
          </cell>
          <cell r="F1837">
            <v>0</v>
          </cell>
        </row>
        <row r="1838">
          <cell r="A1838" t="str">
            <v>50210-00000-00</v>
          </cell>
          <cell r="F1838">
            <v>0</v>
          </cell>
        </row>
        <row r="1839">
          <cell r="A1839" t="str">
            <v>50210-11001-00</v>
          </cell>
          <cell r="F1839">
            <v>143458795.90000001</v>
          </cell>
        </row>
        <row r="1840">
          <cell r="A1840" t="str">
            <v>50210-11005-00</v>
          </cell>
          <cell r="F1840">
            <v>0</v>
          </cell>
        </row>
        <row r="1841">
          <cell r="A1841" t="str">
            <v>50210-13006-00</v>
          </cell>
          <cell r="F1841">
            <v>0</v>
          </cell>
        </row>
        <row r="1842">
          <cell r="A1842" t="str">
            <v>50210-13007-00</v>
          </cell>
          <cell r="F1842">
            <v>6652525.6299999999</v>
          </cell>
        </row>
        <row r="1843">
          <cell r="A1843" t="str">
            <v>50210-13008-00</v>
          </cell>
          <cell r="F1843">
            <v>0</v>
          </cell>
        </row>
        <row r="1844">
          <cell r="A1844" t="str">
            <v>50210-31010-00</v>
          </cell>
          <cell r="F1844">
            <v>999679.24</v>
          </cell>
        </row>
        <row r="1845">
          <cell r="A1845" t="str">
            <v>50210-31011-00</v>
          </cell>
          <cell r="F1845">
            <v>884135.6</v>
          </cell>
        </row>
        <row r="1846">
          <cell r="A1846" t="str">
            <v>50210-31012-00</v>
          </cell>
          <cell r="F1846">
            <v>145999.04000000001</v>
          </cell>
        </row>
        <row r="1847">
          <cell r="A1847" t="str">
            <v>50210-31013-00</v>
          </cell>
          <cell r="F1847">
            <v>0</v>
          </cell>
        </row>
        <row r="1848">
          <cell r="A1848" t="str">
            <v>50210-31014-00</v>
          </cell>
          <cell r="F1848">
            <v>0</v>
          </cell>
        </row>
        <row r="1849">
          <cell r="A1849" t="str">
            <v>50210-31015-00</v>
          </cell>
          <cell r="F1849">
            <v>0</v>
          </cell>
        </row>
        <row r="1850">
          <cell r="A1850" t="str">
            <v>50210-31016-00</v>
          </cell>
          <cell r="F1850">
            <v>0</v>
          </cell>
        </row>
        <row r="1851">
          <cell r="A1851" t="str">
            <v>50210-31017-00</v>
          </cell>
          <cell r="F1851">
            <v>127573.56</v>
          </cell>
        </row>
        <row r="1852">
          <cell r="A1852" t="str">
            <v>50210-31018-00</v>
          </cell>
          <cell r="F1852">
            <v>845472.9</v>
          </cell>
        </row>
        <row r="1853">
          <cell r="A1853" t="str">
            <v>50210-31019-00</v>
          </cell>
          <cell r="F1853">
            <v>88135.25</v>
          </cell>
        </row>
        <row r="1854">
          <cell r="A1854" t="str">
            <v>50210-31020-00</v>
          </cell>
          <cell r="F1854">
            <v>0</v>
          </cell>
        </row>
        <row r="1855">
          <cell r="A1855" t="str">
            <v>50210-31021-00</v>
          </cell>
          <cell r="F1855">
            <v>212186.85</v>
          </cell>
        </row>
        <row r="1856">
          <cell r="A1856" t="str">
            <v>50210-31022-00</v>
          </cell>
          <cell r="F1856">
            <v>689939.25</v>
          </cell>
        </row>
        <row r="1857">
          <cell r="A1857" t="str">
            <v>50210-31023-00</v>
          </cell>
          <cell r="F1857">
            <v>917780.05</v>
          </cell>
        </row>
        <row r="1858">
          <cell r="A1858" t="str">
            <v>50210-31024-00</v>
          </cell>
          <cell r="F1858">
            <v>0</v>
          </cell>
        </row>
        <row r="1859">
          <cell r="A1859" t="str">
            <v>50210-31025-00</v>
          </cell>
          <cell r="F1859">
            <v>189090.15</v>
          </cell>
        </row>
        <row r="1860">
          <cell r="A1860" t="str">
            <v>50210-31026-00</v>
          </cell>
          <cell r="F1860">
            <v>0</v>
          </cell>
        </row>
        <row r="1861">
          <cell r="A1861" t="str">
            <v>50210-31027-00</v>
          </cell>
          <cell r="F1861">
            <v>0</v>
          </cell>
        </row>
        <row r="1862">
          <cell r="A1862" t="str">
            <v>50210-31028-00</v>
          </cell>
          <cell r="F1862">
            <v>1398363.21</v>
          </cell>
        </row>
        <row r="1863">
          <cell r="A1863" t="str">
            <v>50210-31029-00</v>
          </cell>
          <cell r="F1863">
            <v>258269.77</v>
          </cell>
        </row>
        <row r="1864">
          <cell r="A1864" t="str">
            <v>50210-31030-00</v>
          </cell>
          <cell r="F1864">
            <v>1444356.25</v>
          </cell>
        </row>
        <row r="1865">
          <cell r="A1865" t="str">
            <v>50210-31031-00</v>
          </cell>
          <cell r="F1865">
            <v>270374.15000000002</v>
          </cell>
        </row>
        <row r="1866">
          <cell r="A1866" t="str">
            <v>50210-31032-00</v>
          </cell>
          <cell r="F1866">
            <v>578548.36</v>
          </cell>
        </row>
        <row r="1867">
          <cell r="A1867" t="str">
            <v>50210-31033-00</v>
          </cell>
          <cell r="F1867">
            <v>939394.86</v>
          </cell>
        </row>
        <row r="1868">
          <cell r="A1868" t="str">
            <v>50210-31034-00</v>
          </cell>
          <cell r="F1868">
            <v>0</v>
          </cell>
        </row>
        <row r="1869">
          <cell r="A1869" t="str">
            <v>50210-31035-00</v>
          </cell>
          <cell r="F1869">
            <v>0</v>
          </cell>
        </row>
        <row r="1870">
          <cell r="A1870" t="str">
            <v>50210-31036-00</v>
          </cell>
          <cell r="F1870">
            <v>0</v>
          </cell>
        </row>
        <row r="1871">
          <cell r="A1871" t="str">
            <v>50210-31037-00</v>
          </cell>
          <cell r="F1871">
            <v>0</v>
          </cell>
        </row>
        <row r="1872">
          <cell r="A1872" t="str">
            <v>50210-31038-00</v>
          </cell>
          <cell r="F1872">
            <v>738014.28</v>
          </cell>
        </row>
        <row r="1873">
          <cell r="A1873" t="str">
            <v>50210-31039-00</v>
          </cell>
          <cell r="F1873">
            <v>228996.98</v>
          </cell>
        </row>
        <row r="1874">
          <cell r="A1874" t="str">
            <v>50210-31040-00</v>
          </cell>
          <cell r="F1874">
            <v>82057.97</v>
          </cell>
        </row>
        <row r="1875">
          <cell r="A1875" t="str">
            <v>50210-31041-00</v>
          </cell>
          <cell r="F1875">
            <v>711273.18</v>
          </cell>
        </row>
        <row r="1876">
          <cell r="A1876" t="str">
            <v>50210-31042-00</v>
          </cell>
          <cell r="F1876">
            <v>166421.96</v>
          </cell>
        </row>
        <row r="1877">
          <cell r="A1877" t="str">
            <v>50210-31043-00</v>
          </cell>
          <cell r="F1877">
            <v>2587798.9900000002</v>
          </cell>
        </row>
        <row r="1878">
          <cell r="A1878" t="str">
            <v>50210-31044-00</v>
          </cell>
          <cell r="F1878">
            <v>0</v>
          </cell>
        </row>
        <row r="1879">
          <cell r="A1879" t="str">
            <v>50210-31045-00</v>
          </cell>
          <cell r="F1879">
            <v>0</v>
          </cell>
        </row>
        <row r="1880">
          <cell r="A1880" t="str">
            <v>50210-31046-00</v>
          </cell>
          <cell r="F1880">
            <v>497350.18</v>
          </cell>
        </row>
        <row r="1881">
          <cell r="A1881" t="str">
            <v>50210-31047-00</v>
          </cell>
          <cell r="F1881">
            <v>0</v>
          </cell>
        </row>
        <row r="1882">
          <cell r="A1882" t="str">
            <v>50210-31048-00</v>
          </cell>
          <cell r="F1882">
            <v>883751.01</v>
          </cell>
        </row>
        <row r="1883">
          <cell r="A1883" t="str">
            <v>50210-31049-00</v>
          </cell>
          <cell r="F1883">
            <v>0</v>
          </cell>
        </row>
        <row r="1884">
          <cell r="A1884" t="str">
            <v>50210-31050-00</v>
          </cell>
          <cell r="F1884">
            <v>0</v>
          </cell>
        </row>
        <row r="1885">
          <cell r="A1885" t="str">
            <v>50210-31051-00</v>
          </cell>
          <cell r="F1885">
            <v>118637.85</v>
          </cell>
        </row>
        <row r="1886">
          <cell r="A1886" t="str">
            <v>50210-31053-00</v>
          </cell>
          <cell r="F1886">
            <v>90336.06</v>
          </cell>
        </row>
        <row r="1887">
          <cell r="A1887" t="str">
            <v>50210-31054-00</v>
          </cell>
          <cell r="F1887">
            <v>929221.12</v>
          </cell>
        </row>
        <row r="1888">
          <cell r="A1888" t="str">
            <v>50210-31055-00</v>
          </cell>
          <cell r="F1888">
            <v>148499.1</v>
          </cell>
        </row>
        <row r="1889">
          <cell r="A1889" t="str">
            <v>50210-31056-00</v>
          </cell>
          <cell r="F1889">
            <v>0</v>
          </cell>
        </row>
        <row r="1890">
          <cell r="A1890" t="str">
            <v>50210-31057-00</v>
          </cell>
          <cell r="F1890">
            <v>251979.81</v>
          </cell>
        </row>
        <row r="1891">
          <cell r="A1891" t="str">
            <v>50210-31058-00</v>
          </cell>
          <cell r="F1891">
            <v>250.04</v>
          </cell>
        </row>
        <row r="1892">
          <cell r="A1892" t="str">
            <v>50210-31059-00</v>
          </cell>
          <cell r="F1892">
            <v>0</v>
          </cell>
        </row>
        <row r="1893">
          <cell r="A1893" t="str">
            <v>50210-31060-00</v>
          </cell>
          <cell r="F1893">
            <v>95224.22</v>
          </cell>
        </row>
        <row r="1894">
          <cell r="A1894" t="str">
            <v>50210-31061-00</v>
          </cell>
          <cell r="F1894">
            <v>0</v>
          </cell>
        </row>
        <row r="1895">
          <cell r="A1895" t="str">
            <v>50210-31062-00</v>
          </cell>
          <cell r="F1895">
            <v>723.18</v>
          </cell>
        </row>
        <row r="1896">
          <cell r="A1896" t="str">
            <v>50210-31063-00</v>
          </cell>
          <cell r="F1896">
            <v>997.47</v>
          </cell>
        </row>
        <row r="1897">
          <cell r="A1897" t="str">
            <v>50210-31064-00</v>
          </cell>
          <cell r="F1897">
            <v>3363.43</v>
          </cell>
        </row>
        <row r="1898">
          <cell r="A1898" t="str">
            <v>50210-31065-00</v>
          </cell>
          <cell r="F1898">
            <v>234101.64</v>
          </cell>
        </row>
        <row r="1899">
          <cell r="A1899" t="str">
            <v>50210-31066-00</v>
          </cell>
          <cell r="F1899">
            <v>103887.67</v>
          </cell>
        </row>
        <row r="1900">
          <cell r="A1900" t="str">
            <v>50210-31067-00</v>
          </cell>
          <cell r="F1900">
            <v>114668.65</v>
          </cell>
        </row>
        <row r="1901">
          <cell r="A1901" t="str">
            <v>50210-31068-00</v>
          </cell>
          <cell r="F1901">
            <v>469110.9</v>
          </cell>
        </row>
        <row r="1902">
          <cell r="A1902" t="str">
            <v>50210-31069-00</v>
          </cell>
          <cell r="F1902">
            <v>378301.82</v>
          </cell>
        </row>
        <row r="1903">
          <cell r="A1903" t="str">
            <v>50210-31070-00</v>
          </cell>
          <cell r="F1903">
            <v>170567.01</v>
          </cell>
        </row>
        <row r="1904">
          <cell r="A1904" t="str">
            <v>50210-31071-00</v>
          </cell>
          <cell r="F1904">
            <v>128562.21</v>
          </cell>
        </row>
        <row r="1905">
          <cell r="A1905" t="str">
            <v>50210-31072-00</v>
          </cell>
          <cell r="F1905">
            <v>0</v>
          </cell>
        </row>
        <row r="1906">
          <cell r="A1906" t="str">
            <v>50210-31073-00</v>
          </cell>
          <cell r="F1906">
            <v>315593.74</v>
          </cell>
        </row>
        <row r="1907">
          <cell r="A1907" t="str">
            <v>50210-31074-00</v>
          </cell>
          <cell r="F1907">
            <v>537959.51</v>
          </cell>
        </row>
        <row r="1908">
          <cell r="A1908" t="str">
            <v>50210-31075-00</v>
          </cell>
          <cell r="F1908">
            <v>0</v>
          </cell>
        </row>
        <row r="1909">
          <cell r="A1909" t="str">
            <v>50210-31076-00</v>
          </cell>
          <cell r="F1909">
            <v>550.41999999999996</v>
          </cell>
        </row>
        <row r="1910">
          <cell r="A1910" t="str">
            <v>50210-31077-00</v>
          </cell>
          <cell r="F1910">
            <v>1080.96</v>
          </cell>
        </row>
        <row r="1911">
          <cell r="A1911" t="str">
            <v>50210-31078-00</v>
          </cell>
          <cell r="F1911">
            <v>1105.5</v>
          </cell>
        </row>
        <row r="1912">
          <cell r="A1912" t="str">
            <v>50210-31900-00</v>
          </cell>
          <cell r="F1912">
            <v>11235174.67</v>
          </cell>
        </row>
        <row r="1913">
          <cell r="A1913" t="str">
            <v>50210-31910-00</v>
          </cell>
          <cell r="F1913">
            <v>3866578.54</v>
          </cell>
        </row>
        <row r="1914">
          <cell r="A1914" t="str">
            <v>50210-43001-00</v>
          </cell>
          <cell r="F1914">
            <v>3635793.61</v>
          </cell>
        </row>
        <row r="1915">
          <cell r="A1915" t="str">
            <v>50210-43002-00</v>
          </cell>
          <cell r="F1915">
            <v>1020168.3</v>
          </cell>
        </row>
        <row r="1916">
          <cell r="A1916" t="str">
            <v>50210-43003-00</v>
          </cell>
          <cell r="F1916">
            <v>669887.41</v>
          </cell>
        </row>
        <row r="1917">
          <cell r="A1917" t="str">
            <v>50210-43005-00</v>
          </cell>
          <cell r="F1917">
            <v>3735182.87</v>
          </cell>
        </row>
        <row r="1918">
          <cell r="A1918" t="str">
            <v>50210-43009-00</v>
          </cell>
          <cell r="F1918">
            <v>1211611.4099999999</v>
          </cell>
        </row>
        <row r="1919">
          <cell r="A1919" t="str">
            <v>50210-43029-00</v>
          </cell>
          <cell r="F1919">
            <v>524824.65</v>
          </cell>
        </row>
        <row r="1920">
          <cell r="A1920" t="str">
            <v>50210-43030-00</v>
          </cell>
          <cell r="F1920">
            <v>4705662.07</v>
          </cell>
        </row>
        <row r="1921">
          <cell r="A1921" t="str">
            <v>50210-43031-00</v>
          </cell>
          <cell r="F1921">
            <v>510502.26</v>
          </cell>
        </row>
        <row r="1922">
          <cell r="A1922" t="str">
            <v>50210-43032-00</v>
          </cell>
          <cell r="F1922">
            <v>410401.58</v>
          </cell>
        </row>
        <row r="1923">
          <cell r="A1923" t="str">
            <v>50210-43041-00</v>
          </cell>
          <cell r="F1923">
            <v>1591177.7</v>
          </cell>
        </row>
        <row r="1924">
          <cell r="A1924" t="str">
            <v>50210-43052-00</v>
          </cell>
          <cell r="F1924">
            <v>0</v>
          </cell>
        </row>
        <row r="1925">
          <cell r="A1925" t="str">
            <v>50210-45001-00</v>
          </cell>
          <cell r="F1925">
            <v>175961.01</v>
          </cell>
        </row>
        <row r="1926">
          <cell r="A1926" t="str">
            <v>50210-45002-00</v>
          </cell>
          <cell r="F1926">
            <v>333570.12</v>
          </cell>
        </row>
        <row r="1927">
          <cell r="A1927" t="str">
            <v>50210-45003-00</v>
          </cell>
          <cell r="F1927">
            <v>9725.51</v>
          </cell>
        </row>
        <row r="1928">
          <cell r="A1928" t="str">
            <v>50210-45005-00</v>
          </cell>
          <cell r="F1928">
            <v>55145</v>
          </cell>
        </row>
        <row r="1929">
          <cell r="A1929" t="str">
            <v>50210-45009-00</v>
          </cell>
          <cell r="F1929">
            <v>127.26</v>
          </cell>
        </row>
        <row r="1930">
          <cell r="A1930" t="str">
            <v>50210-45029-00</v>
          </cell>
          <cell r="F1930">
            <v>25150.09</v>
          </cell>
        </row>
        <row r="1931">
          <cell r="A1931" t="str">
            <v>50210-45030-00</v>
          </cell>
          <cell r="F1931">
            <v>32941.42</v>
          </cell>
        </row>
        <row r="1932">
          <cell r="A1932" t="str">
            <v>50210-45031-00</v>
          </cell>
          <cell r="F1932">
            <v>4846.12</v>
          </cell>
        </row>
        <row r="1933">
          <cell r="A1933" t="str">
            <v>50210-45032-00</v>
          </cell>
          <cell r="F1933">
            <v>4216.62</v>
          </cell>
        </row>
        <row r="1934">
          <cell r="A1934" t="str">
            <v>50210-45052-00</v>
          </cell>
          <cell r="F1934">
            <v>0</v>
          </cell>
        </row>
        <row r="1935">
          <cell r="A1935" t="str">
            <v>50270-11001-00</v>
          </cell>
          <cell r="F1935">
            <v>0</v>
          </cell>
        </row>
        <row r="1936">
          <cell r="A1936" t="str">
            <v>50270-11005-00</v>
          </cell>
          <cell r="F1936">
            <v>0</v>
          </cell>
        </row>
        <row r="1937">
          <cell r="A1937" t="str">
            <v>50280-00000-00</v>
          </cell>
          <cell r="F1937">
            <v>0</v>
          </cell>
        </row>
        <row r="1938">
          <cell r="A1938" t="str">
            <v>50280-15001-00</v>
          </cell>
          <cell r="F1938">
            <v>19703380.449999999</v>
          </cell>
        </row>
        <row r="1939">
          <cell r="A1939" t="str">
            <v>50280-15005-00</v>
          </cell>
          <cell r="F1939">
            <v>0</v>
          </cell>
        </row>
        <row r="1940">
          <cell r="A1940" t="str">
            <v>50290-00000-00</v>
          </cell>
          <cell r="F1940">
            <v>0</v>
          </cell>
        </row>
        <row r="1941">
          <cell r="A1941" t="str">
            <v>50290-15001-00</v>
          </cell>
          <cell r="F1941">
            <v>80166922.530000001</v>
          </cell>
        </row>
        <row r="1942">
          <cell r="A1942" t="str">
            <v>50290-15005-00</v>
          </cell>
          <cell r="F1942">
            <v>0</v>
          </cell>
        </row>
        <row r="1943">
          <cell r="A1943" t="str">
            <v>50290-43001-00</v>
          </cell>
          <cell r="F1943">
            <v>0</v>
          </cell>
        </row>
        <row r="1944">
          <cell r="A1944" t="str">
            <v>50290-43029-00</v>
          </cell>
          <cell r="F1944">
            <v>0</v>
          </cell>
        </row>
        <row r="1945">
          <cell r="A1945" t="str">
            <v>50300-00000-00</v>
          </cell>
          <cell r="F1945">
            <v>0</v>
          </cell>
        </row>
        <row r="1946">
          <cell r="A1946" t="str">
            <v>50300-11005-00</v>
          </cell>
          <cell r="F1946">
            <v>0</v>
          </cell>
        </row>
        <row r="1947">
          <cell r="A1947" t="str">
            <v>50300-14001-00</v>
          </cell>
          <cell r="F1947">
            <v>4052288.03</v>
          </cell>
        </row>
        <row r="1948">
          <cell r="A1948" t="str">
            <v>50300-14049-00</v>
          </cell>
          <cell r="F1948">
            <v>381346.54</v>
          </cell>
        </row>
        <row r="1949">
          <cell r="A1949" t="str">
            <v>50300-31022-00</v>
          </cell>
          <cell r="F1949">
            <v>0</v>
          </cell>
        </row>
        <row r="1950">
          <cell r="A1950" t="str">
            <v>50300-31072-00</v>
          </cell>
          <cell r="F1950">
            <v>27168.31</v>
          </cell>
        </row>
        <row r="1951">
          <cell r="A1951" t="str">
            <v>50300-41001-00</v>
          </cell>
          <cell r="F1951">
            <v>4767947.59</v>
          </cell>
        </row>
        <row r="1952">
          <cell r="A1952" t="str">
            <v>50300-41002-00</v>
          </cell>
          <cell r="F1952">
            <v>2154061.5499999998</v>
          </cell>
        </row>
        <row r="1953">
          <cell r="A1953" t="str">
            <v>50300-41003-00</v>
          </cell>
          <cell r="F1953">
            <v>2623863.11</v>
          </cell>
        </row>
        <row r="1954">
          <cell r="A1954" t="str">
            <v>50300-41004-00</v>
          </cell>
          <cell r="F1954">
            <v>1379449.6</v>
          </cell>
        </row>
        <row r="1955">
          <cell r="A1955" t="str">
            <v>50300-41005-00</v>
          </cell>
          <cell r="F1955">
            <v>537545.24</v>
          </cell>
        </row>
        <row r="1956">
          <cell r="A1956" t="str">
            <v>50300-41009-00</v>
          </cell>
          <cell r="F1956">
            <v>509501.4</v>
          </cell>
        </row>
        <row r="1957">
          <cell r="A1957" t="str">
            <v>50300-41029-00</v>
          </cell>
          <cell r="F1957">
            <v>171254.24</v>
          </cell>
        </row>
        <row r="1958">
          <cell r="A1958" t="str">
            <v>50300-41030-00</v>
          </cell>
          <cell r="F1958">
            <v>508924.89</v>
          </cell>
        </row>
        <row r="1959">
          <cell r="A1959" t="str">
            <v>50300-41031-00</v>
          </cell>
          <cell r="F1959">
            <v>421261.48</v>
          </cell>
        </row>
        <row r="1960">
          <cell r="A1960" t="str">
            <v>50300-41032-00</v>
          </cell>
          <cell r="F1960">
            <v>145470.16</v>
          </cell>
        </row>
        <row r="1961">
          <cell r="A1961" t="str">
            <v>50300-41041-00</v>
          </cell>
          <cell r="F1961">
            <v>39227.39</v>
          </cell>
        </row>
        <row r="1962">
          <cell r="A1962" t="str">
            <v>50300-41049-00</v>
          </cell>
          <cell r="F1962">
            <v>100711.41</v>
          </cell>
        </row>
        <row r="1963">
          <cell r="A1963" t="str">
            <v>50300-41052-00</v>
          </cell>
          <cell r="F1963">
            <v>0</v>
          </cell>
        </row>
        <row r="1964">
          <cell r="A1964" t="str">
            <v>50300-89001-00</v>
          </cell>
          <cell r="F1964">
            <v>0</v>
          </cell>
        </row>
        <row r="1965">
          <cell r="A1965" t="str">
            <v>50360-00000-00</v>
          </cell>
          <cell r="F1965">
            <v>0</v>
          </cell>
        </row>
        <row r="1966">
          <cell r="A1966" t="str">
            <v>50360-11005-00</v>
          </cell>
          <cell r="F1966">
            <v>0</v>
          </cell>
        </row>
        <row r="1967">
          <cell r="A1967" t="str">
            <v>50360-31011-00</v>
          </cell>
          <cell r="F1967">
            <v>46530.39</v>
          </cell>
        </row>
        <row r="1968">
          <cell r="A1968" t="str">
            <v>50360-31048-00</v>
          </cell>
          <cell r="F1968">
            <v>0</v>
          </cell>
        </row>
        <row r="1969">
          <cell r="A1969" t="str">
            <v>50360-45001-00</v>
          </cell>
          <cell r="F1969">
            <v>1933432.04</v>
          </cell>
        </row>
        <row r="1970">
          <cell r="A1970" t="str">
            <v>50360-45002-00</v>
          </cell>
          <cell r="F1970">
            <v>9488966.5700000003</v>
          </cell>
        </row>
        <row r="1971">
          <cell r="A1971" t="str">
            <v>50360-45003-00</v>
          </cell>
          <cell r="F1971">
            <v>9842.09</v>
          </cell>
        </row>
        <row r="1972">
          <cell r="A1972" t="str">
            <v>50360-45005-00</v>
          </cell>
          <cell r="F1972">
            <v>561970.5</v>
          </cell>
        </row>
        <row r="1973">
          <cell r="A1973" t="str">
            <v>50360-45009-00</v>
          </cell>
          <cell r="F1973">
            <v>5188.51</v>
          </cell>
        </row>
        <row r="1974">
          <cell r="A1974" t="str">
            <v>50360-45029-00</v>
          </cell>
          <cell r="F1974">
            <v>2243927.92</v>
          </cell>
        </row>
        <row r="1975">
          <cell r="A1975" t="str">
            <v>50360-45030-00</v>
          </cell>
          <cell r="F1975">
            <v>237059.41</v>
          </cell>
        </row>
        <row r="1976">
          <cell r="A1976" t="str">
            <v>50360-45031-00</v>
          </cell>
          <cell r="F1976">
            <v>95910.44</v>
          </cell>
        </row>
        <row r="1977">
          <cell r="A1977" t="str">
            <v>50360-45032-00</v>
          </cell>
          <cell r="F1977">
            <v>18006.53</v>
          </cell>
        </row>
        <row r="1978">
          <cell r="A1978" t="str">
            <v>50360-45052-00</v>
          </cell>
          <cell r="F1978">
            <v>251999.68</v>
          </cell>
        </row>
        <row r="1979">
          <cell r="A1979" t="str">
            <v>50360-89001-00</v>
          </cell>
          <cell r="F1979">
            <v>0</v>
          </cell>
        </row>
        <row r="1980">
          <cell r="A1980" t="str">
            <v>50400-00000-00</v>
          </cell>
          <cell r="F1980">
            <v>0</v>
          </cell>
        </row>
        <row r="1981">
          <cell r="A1981" t="str">
            <v>50400-61030-00</v>
          </cell>
          <cell r="F1981">
            <v>200760.16</v>
          </cell>
        </row>
        <row r="1982">
          <cell r="A1982" t="str">
            <v>50400-61031-00</v>
          </cell>
          <cell r="F1982">
            <v>3150494.98</v>
          </cell>
        </row>
        <row r="1983">
          <cell r="A1983" t="str">
            <v>50410-00000-00</v>
          </cell>
          <cell r="F1983">
            <v>0</v>
          </cell>
        </row>
        <row r="1984">
          <cell r="A1984" t="str">
            <v>50410-62030-00</v>
          </cell>
          <cell r="F1984">
            <v>3379042.31</v>
          </cell>
        </row>
        <row r="1985">
          <cell r="A1985" t="str">
            <v>50410-62032-00</v>
          </cell>
          <cell r="F1985">
            <v>14449.55</v>
          </cell>
        </row>
        <row r="1986">
          <cell r="A1986" t="str">
            <v>50420-63030-00</v>
          </cell>
          <cell r="F1986">
            <v>443966.65</v>
          </cell>
        </row>
        <row r="1987">
          <cell r="A1987" t="str">
            <v>50420-63032-00</v>
          </cell>
          <cell r="F1987">
            <v>288653.21000000002</v>
          </cell>
        </row>
        <row r="1988">
          <cell r="A1988" t="str">
            <v>50430-64032-00</v>
          </cell>
          <cell r="F1988">
            <v>9788.82</v>
          </cell>
        </row>
        <row r="1989">
          <cell r="A1989" t="str">
            <v>50500-00000-00</v>
          </cell>
          <cell r="F1989">
            <v>0</v>
          </cell>
        </row>
        <row r="1990">
          <cell r="A1990" t="str">
            <v>50500-15001-00</v>
          </cell>
          <cell r="F1990">
            <v>173397.29</v>
          </cell>
        </row>
        <row r="1991">
          <cell r="A1991" t="str">
            <v>50500-15005-00</v>
          </cell>
          <cell r="F1991">
            <v>0</v>
          </cell>
        </row>
        <row r="1992">
          <cell r="A1992" t="str">
            <v>50500-41001-00</v>
          </cell>
          <cell r="F1992">
            <v>236086.34</v>
          </cell>
        </row>
        <row r="1993">
          <cell r="A1993" t="str">
            <v>50500-41002-00</v>
          </cell>
          <cell r="F1993">
            <v>34224.269999999997</v>
          </cell>
        </row>
        <row r="1994">
          <cell r="A1994" t="str">
            <v>50500-41003-00</v>
          </cell>
          <cell r="F1994">
            <v>115531.46</v>
          </cell>
        </row>
        <row r="1995">
          <cell r="A1995" t="str">
            <v>50500-41004-00</v>
          </cell>
          <cell r="F1995">
            <v>27548.15</v>
          </cell>
        </row>
        <row r="1996">
          <cell r="A1996" t="str">
            <v>50500-41005-00</v>
          </cell>
          <cell r="F1996">
            <v>34985.18</v>
          </cell>
        </row>
        <row r="1997">
          <cell r="A1997" t="str">
            <v>50500-41009-00</v>
          </cell>
          <cell r="F1997">
            <v>18101.78</v>
          </cell>
        </row>
        <row r="1998">
          <cell r="A1998" t="str">
            <v>50500-41029-00</v>
          </cell>
          <cell r="F1998">
            <v>25394.1</v>
          </cell>
        </row>
        <row r="1999">
          <cell r="A1999" t="str">
            <v>50500-41030-00</v>
          </cell>
          <cell r="F1999">
            <v>30694.81</v>
          </cell>
        </row>
        <row r="2000">
          <cell r="A2000" t="str">
            <v>50500-41031-00</v>
          </cell>
          <cell r="F2000">
            <v>2830.87</v>
          </cell>
        </row>
        <row r="2001">
          <cell r="A2001" t="str">
            <v>50500-41032-00</v>
          </cell>
          <cell r="F2001">
            <v>0</v>
          </cell>
        </row>
        <row r="2002">
          <cell r="A2002" t="str">
            <v>50500-41041-00</v>
          </cell>
          <cell r="F2002">
            <v>6191.78</v>
          </cell>
        </row>
        <row r="2003">
          <cell r="A2003" t="str">
            <v>50500-41049-00</v>
          </cell>
          <cell r="F2003">
            <v>2177.29</v>
          </cell>
        </row>
        <row r="2004">
          <cell r="A2004" t="str">
            <v>50500-41052-00</v>
          </cell>
          <cell r="F2004">
            <v>0</v>
          </cell>
        </row>
        <row r="2005">
          <cell r="A2005" t="str">
            <v>50500-43001-00</v>
          </cell>
          <cell r="F2005">
            <v>0</v>
          </cell>
        </row>
        <row r="2006">
          <cell r="A2006" t="str">
            <v>50500-43002-00</v>
          </cell>
          <cell r="F2006">
            <v>0</v>
          </cell>
        </row>
        <row r="2007">
          <cell r="A2007" t="str">
            <v>50500-43003-00</v>
          </cell>
          <cell r="F2007">
            <v>0</v>
          </cell>
        </row>
        <row r="2008">
          <cell r="A2008" t="str">
            <v>50500-43005-00</v>
          </cell>
          <cell r="F2008">
            <v>0</v>
          </cell>
        </row>
        <row r="2009">
          <cell r="A2009" t="str">
            <v>50500-43009-00</v>
          </cell>
          <cell r="F2009">
            <v>0</v>
          </cell>
        </row>
        <row r="2010">
          <cell r="A2010" t="str">
            <v>50500-43029-00</v>
          </cell>
          <cell r="F2010">
            <v>0</v>
          </cell>
        </row>
        <row r="2011">
          <cell r="A2011" t="str">
            <v>50500-43030-00</v>
          </cell>
          <cell r="F2011">
            <v>33021.1</v>
          </cell>
        </row>
        <row r="2012">
          <cell r="A2012" t="str">
            <v>50500-43031-00</v>
          </cell>
          <cell r="F2012">
            <v>10955.65</v>
          </cell>
        </row>
        <row r="2013">
          <cell r="A2013" t="str">
            <v>50500-43032-00</v>
          </cell>
          <cell r="F2013">
            <v>0</v>
          </cell>
        </row>
        <row r="2014">
          <cell r="A2014" t="str">
            <v>50500-43041-00</v>
          </cell>
          <cell r="F2014">
            <v>3669.37</v>
          </cell>
        </row>
        <row r="2015">
          <cell r="A2015" t="str">
            <v>50500-43052-00</v>
          </cell>
          <cell r="F2015">
            <v>0</v>
          </cell>
        </row>
        <row r="2016">
          <cell r="A2016" t="str">
            <v>50500-45001-00</v>
          </cell>
          <cell r="F2016">
            <v>17912.48</v>
          </cell>
        </row>
        <row r="2017">
          <cell r="A2017" t="str">
            <v>50500-45002-00</v>
          </cell>
          <cell r="F2017">
            <v>42442.54</v>
          </cell>
        </row>
        <row r="2018">
          <cell r="A2018" t="str">
            <v>50500-45003-00</v>
          </cell>
          <cell r="F2018">
            <v>0</v>
          </cell>
        </row>
        <row r="2019">
          <cell r="A2019" t="str">
            <v>50500-45005-00</v>
          </cell>
          <cell r="F2019">
            <v>9948.39</v>
          </cell>
        </row>
        <row r="2020">
          <cell r="A2020" t="str">
            <v>50500-45009-00</v>
          </cell>
          <cell r="F2020">
            <v>21.25</v>
          </cell>
        </row>
        <row r="2021">
          <cell r="A2021" t="str">
            <v>50500-45029-00</v>
          </cell>
          <cell r="F2021">
            <v>2392.5100000000002</v>
          </cell>
        </row>
        <row r="2022">
          <cell r="A2022" t="str">
            <v>50500-45030-00</v>
          </cell>
          <cell r="F2022">
            <v>1988.44</v>
          </cell>
        </row>
        <row r="2023">
          <cell r="A2023" t="str">
            <v>50500-45031-00</v>
          </cell>
          <cell r="F2023">
            <v>0</v>
          </cell>
        </row>
        <row r="2024">
          <cell r="A2024" t="str">
            <v>50500-45032-00</v>
          </cell>
          <cell r="F2024">
            <v>0</v>
          </cell>
        </row>
        <row r="2025">
          <cell r="A2025" t="str">
            <v>50500-45052-00</v>
          </cell>
          <cell r="F2025">
            <v>0</v>
          </cell>
        </row>
        <row r="2026">
          <cell r="A2026" t="str">
            <v>50500-53001-00</v>
          </cell>
          <cell r="F2026">
            <v>0</v>
          </cell>
        </row>
        <row r="2027">
          <cell r="A2027" t="str">
            <v>50500-61030-00</v>
          </cell>
          <cell r="F2027">
            <v>0</v>
          </cell>
        </row>
        <row r="2028">
          <cell r="A2028" t="str">
            <v>50500-61031-00</v>
          </cell>
          <cell r="F2028">
            <v>0</v>
          </cell>
        </row>
        <row r="2029">
          <cell r="A2029" t="str">
            <v>50500-62030-00</v>
          </cell>
          <cell r="F2029">
            <v>0</v>
          </cell>
        </row>
        <row r="2030">
          <cell r="A2030" t="str">
            <v>50500-62032-00</v>
          </cell>
          <cell r="F2030">
            <v>0</v>
          </cell>
        </row>
        <row r="2031">
          <cell r="A2031" t="str">
            <v>50500-63030-00</v>
          </cell>
          <cell r="F2031">
            <v>0</v>
          </cell>
        </row>
        <row r="2032">
          <cell r="A2032" t="str">
            <v>50500-63032-00</v>
          </cell>
          <cell r="F2032">
            <v>0</v>
          </cell>
        </row>
        <row r="2033">
          <cell r="A2033" t="str">
            <v>50500-64032-00</v>
          </cell>
          <cell r="F2033">
            <v>0</v>
          </cell>
        </row>
        <row r="2034">
          <cell r="A2034" t="str">
            <v>50540-00000-00</v>
          </cell>
          <cell r="F2034">
            <v>0</v>
          </cell>
        </row>
        <row r="2035">
          <cell r="A2035" t="str">
            <v>50540-14049-00</v>
          </cell>
          <cell r="F2035">
            <v>0</v>
          </cell>
        </row>
        <row r="2036">
          <cell r="A2036" t="str">
            <v>50540-41001-00</v>
          </cell>
          <cell r="F2036">
            <v>708017.04</v>
          </cell>
        </row>
        <row r="2037">
          <cell r="A2037" t="str">
            <v>50540-41002-00</v>
          </cell>
          <cell r="F2037">
            <v>69914.86</v>
          </cell>
        </row>
        <row r="2038">
          <cell r="A2038" t="str">
            <v>50540-41003-00</v>
          </cell>
          <cell r="F2038">
            <v>209451.75</v>
          </cell>
        </row>
        <row r="2039">
          <cell r="A2039" t="str">
            <v>50540-41004-00</v>
          </cell>
          <cell r="F2039">
            <v>62176.29</v>
          </cell>
        </row>
        <row r="2040">
          <cell r="A2040" t="str">
            <v>50540-41005-00</v>
          </cell>
          <cell r="F2040">
            <v>57865.81</v>
          </cell>
        </row>
        <row r="2041">
          <cell r="A2041" t="str">
            <v>50540-41009-00</v>
          </cell>
          <cell r="F2041">
            <v>5291.96</v>
          </cell>
        </row>
        <row r="2042">
          <cell r="A2042" t="str">
            <v>50540-41029-00</v>
          </cell>
          <cell r="F2042">
            <v>4230</v>
          </cell>
        </row>
        <row r="2043">
          <cell r="A2043" t="str">
            <v>50540-41030-00</v>
          </cell>
          <cell r="F2043">
            <v>6988.69</v>
          </cell>
        </row>
        <row r="2044">
          <cell r="A2044" t="str">
            <v>50540-41031-00</v>
          </cell>
          <cell r="F2044">
            <v>-1782.23</v>
          </cell>
        </row>
        <row r="2045">
          <cell r="A2045" t="str">
            <v>50540-41032-00</v>
          </cell>
          <cell r="F2045">
            <v>0</v>
          </cell>
        </row>
        <row r="2046">
          <cell r="A2046" t="str">
            <v>50540-41041-00</v>
          </cell>
          <cell r="F2046">
            <v>11775.91</v>
          </cell>
        </row>
        <row r="2047">
          <cell r="A2047" t="str">
            <v>50540-41049-00</v>
          </cell>
          <cell r="F2047">
            <v>1783.81</v>
          </cell>
        </row>
        <row r="2048">
          <cell r="A2048" t="str">
            <v>50540-41052-00</v>
          </cell>
          <cell r="F2048">
            <v>0</v>
          </cell>
        </row>
        <row r="2049">
          <cell r="A2049" t="str">
            <v>50580-00000-00</v>
          </cell>
          <cell r="F2049">
            <v>0</v>
          </cell>
        </row>
        <row r="2050">
          <cell r="A2050" t="str">
            <v>50580-11001-00</v>
          </cell>
          <cell r="F2050">
            <v>118421.64</v>
          </cell>
        </row>
        <row r="2051">
          <cell r="A2051" t="str">
            <v>50580-11005-00</v>
          </cell>
          <cell r="F2051">
            <v>0</v>
          </cell>
        </row>
        <row r="2052">
          <cell r="A2052" t="str">
            <v>50580-13008-00</v>
          </cell>
          <cell r="F2052">
            <v>0</v>
          </cell>
        </row>
        <row r="2053">
          <cell r="A2053" t="str">
            <v>50580-14001-00</v>
          </cell>
          <cell r="F2053">
            <v>0</v>
          </cell>
        </row>
        <row r="2054">
          <cell r="A2054" t="str">
            <v>50580-14049-00</v>
          </cell>
          <cell r="F2054">
            <v>0</v>
          </cell>
        </row>
        <row r="2055">
          <cell r="A2055" t="str">
            <v>50580-15001-00</v>
          </cell>
          <cell r="F2055">
            <v>117101.49</v>
          </cell>
        </row>
        <row r="2056">
          <cell r="A2056" t="str">
            <v>50580-15005-00</v>
          </cell>
          <cell r="F2056">
            <v>0</v>
          </cell>
        </row>
        <row r="2057">
          <cell r="A2057" t="str">
            <v>50580-31010-00</v>
          </cell>
          <cell r="F2057">
            <v>0</v>
          </cell>
        </row>
        <row r="2058">
          <cell r="A2058" t="str">
            <v>50580-31011-00</v>
          </cell>
          <cell r="F2058">
            <v>0</v>
          </cell>
        </row>
        <row r="2059">
          <cell r="A2059" t="str">
            <v>50580-31012-00</v>
          </cell>
          <cell r="F2059">
            <v>0</v>
          </cell>
        </row>
        <row r="2060">
          <cell r="A2060" t="str">
            <v>50580-31013-00</v>
          </cell>
          <cell r="F2060">
            <v>0</v>
          </cell>
        </row>
        <row r="2061">
          <cell r="A2061" t="str">
            <v>50580-31014-00</v>
          </cell>
          <cell r="F2061">
            <v>0</v>
          </cell>
        </row>
        <row r="2062">
          <cell r="A2062" t="str">
            <v>50580-31015-00</v>
          </cell>
          <cell r="F2062">
            <v>0</v>
          </cell>
        </row>
        <row r="2063">
          <cell r="A2063" t="str">
            <v>50580-31016-00</v>
          </cell>
          <cell r="F2063">
            <v>0</v>
          </cell>
        </row>
        <row r="2064">
          <cell r="A2064" t="str">
            <v>50580-31017-00</v>
          </cell>
          <cell r="F2064">
            <v>0</v>
          </cell>
        </row>
        <row r="2065">
          <cell r="A2065" t="str">
            <v>50580-31018-00</v>
          </cell>
          <cell r="F2065">
            <v>0</v>
          </cell>
        </row>
        <row r="2066">
          <cell r="A2066" t="str">
            <v>50580-31019-00</v>
          </cell>
          <cell r="F2066">
            <v>0</v>
          </cell>
        </row>
        <row r="2067">
          <cell r="A2067" t="str">
            <v>50580-31020-00</v>
          </cell>
          <cell r="F2067">
            <v>0</v>
          </cell>
        </row>
        <row r="2068">
          <cell r="A2068" t="str">
            <v>50580-31021-00</v>
          </cell>
          <cell r="F2068">
            <v>0</v>
          </cell>
        </row>
        <row r="2069">
          <cell r="A2069" t="str">
            <v>50580-31022-00</v>
          </cell>
          <cell r="F2069">
            <v>0</v>
          </cell>
        </row>
        <row r="2070">
          <cell r="A2070" t="str">
            <v>50580-31023-00</v>
          </cell>
          <cell r="F2070">
            <v>0</v>
          </cell>
        </row>
        <row r="2071">
          <cell r="A2071" t="str">
            <v>50580-31024-00</v>
          </cell>
          <cell r="F2071">
            <v>0</v>
          </cell>
        </row>
        <row r="2072">
          <cell r="A2072" t="str">
            <v>50580-31025-00</v>
          </cell>
          <cell r="F2072">
            <v>0</v>
          </cell>
        </row>
        <row r="2073">
          <cell r="A2073" t="str">
            <v>50580-31026-00</v>
          </cell>
          <cell r="F2073">
            <v>0</v>
          </cell>
        </row>
        <row r="2074">
          <cell r="A2074" t="str">
            <v>50580-31027-00</v>
          </cell>
          <cell r="F2074">
            <v>0</v>
          </cell>
        </row>
        <row r="2075">
          <cell r="A2075" t="str">
            <v>50580-31028-00</v>
          </cell>
          <cell r="F2075">
            <v>0</v>
          </cell>
        </row>
        <row r="2076">
          <cell r="A2076" t="str">
            <v>50580-31029-00</v>
          </cell>
          <cell r="F2076">
            <v>0</v>
          </cell>
        </row>
        <row r="2077">
          <cell r="A2077" t="str">
            <v>50580-31030-00</v>
          </cell>
          <cell r="F2077">
            <v>0</v>
          </cell>
        </row>
        <row r="2078">
          <cell r="A2078" t="str">
            <v>50580-31031-00</v>
          </cell>
          <cell r="F2078">
            <v>0</v>
          </cell>
        </row>
        <row r="2079">
          <cell r="A2079" t="str">
            <v>50580-31032-00</v>
          </cell>
          <cell r="F2079">
            <v>0</v>
          </cell>
        </row>
        <row r="2080">
          <cell r="A2080" t="str">
            <v>50580-31033-00</v>
          </cell>
          <cell r="F2080">
            <v>0</v>
          </cell>
        </row>
        <row r="2081">
          <cell r="A2081" t="str">
            <v>50580-31034-00</v>
          </cell>
          <cell r="F2081">
            <v>0</v>
          </cell>
        </row>
        <row r="2082">
          <cell r="A2082" t="str">
            <v>50580-31035-00</v>
          </cell>
          <cell r="F2082">
            <v>0</v>
          </cell>
        </row>
        <row r="2083">
          <cell r="A2083" t="str">
            <v>50580-31036-00</v>
          </cell>
          <cell r="F2083">
            <v>0</v>
          </cell>
        </row>
        <row r="2084">
          <cell r="A2084" t="str">
            <v>50580-31037-00</v>
          </cell>
          <cell r="F2084">
            <v>0</v>
          </cell>
        </row>
        <row r="2085">
          <cell r="A2085" t="str">
            <v>50580-31038-00</v>
          </cell>
          <cell r="F2085">
            <v>659</v>
          </cell>
        </row>
        <row r="2086">
          <cell r="A2086" t="str">
            <v>50580-31039-00</v>
          </cell>
          <cell r="F2086">
            <v>0</v>
          </cell>
        </row>
        <row r="2087">
          <cell r="A2087" t="str">
            <v>50580-31040-00</v>
          </cell>
          <cell r="F2087">
            <v>87.98</v>
          </cell>
        </row>
        <row r="2088">
          <cell r="A2088" t="str">
            <v>50580-31041-00</v>
          </cell>
          <cell r="F2088">
            <v>2840.07</v>
          </cell>
        </row>
        <row r="2089">
          <cell r="A2089" t="str">
            <v>50580-31042-00</v>
          </cell>
          <cell r="F2089">
            <v>0</v>
          </cell>
        </row>
        <row r="2090">
          <cell r="A2090" t="str">
            <v>50580-31043-00</v>
          </cell>
          <cell r="F2090">
            <v>1474.4</v>
          </cell>
        </row>
        <row r="2091">
          <cell r="A2091" t="str">
            <v>50580-31044-00</v>
          </cell>
          <cell r="F2091">
            <v>0</v>
          </cell>
        </row>
        <row r="2092">
          <cell r="A2092" t="str">
            <v>50580-31045-00</v>
          </cell>
          <cell r="F2092">
            <v>0</v>
          </cell>
        </row>
        <row r="2093">
          <cell r="A2093" t="str">
            <v>50580-31046-00</v>
          </cell>
          <cell r="F2093">
            <v>0</v>
          </cell>
        </row>
        <row r="2094">
          <cell r="A2094" t="str">
            <v>50580-31047-00</v>
          </cell>
          <cell r="F2094">
            <v>0</v>
          </cell>
        </row>
        <row r="2095">
          <cell r="A2095" t="str">
            <v>50580-31048-00</v>
          </cell>
          <cell r="F2095">
            <v>0</v>
          </cell>
        </row>
        <row r="2096">
          <cell r="A2096" t="str">
            <v>50580-31049-00</v>
          </cell>
          <cell r="F2096">
            <v>0</v>
          </cell>
        </row>
        <row r="2097">
          <cell r="A2097" t="str">
            <v>50580-31050-00</v>
          </cell>
          <cell r="F2097">
            <v>0</v>
          </cell>
        </row>
        <row r="2098">
          <cell r="A2098" t="str">
            <v>50580-31051-00</v>
          </cell>
          <cell r="F2098">
            <v>0</v>
          </cell>
        </row>
        <row r="2099">
          <cell r="A2099" t="str">
            <v>50580-31053-00</v>
          </cell>
          <cell r="F2099">
            <v>0</v>
          </cell>
        </row>
        <row r="2100">
          <cell r="A2100" t="str">
            <v>50580-31054-00</v>
          </cell>
          <cell r="F2100">
            <v>34391.360000000001</v>
          </cell>
        </row>
        <row r="2101">
          <cell r="A2101" t="str">
            <v>50580-31055-00</v>
          </cell>
          <cell r="F2101">
            <v>0</v>
          </cell>
        </row>
        <row r="2102">
          <cell r="A2102" t="str">
            <v>50580-31056-00</v>
          </cell>
          <cell r="F2102">
            <v>0</v>
          </cell>
        </row>
        <row r="2103">
          <cell r="A2103" t="str">
            <v>50580-31057-00</v>
          </cell>
          <cell r="F2103">
            <v>0</v>
          </cell>
        </row>
        <row r="2104">
          <cell r="A2104" t="str">
            <v>50580-31058-00</v>
          </cell>
          <cell r="F2104">
            <v>0</v>
          </cell>
        </row>
        <row r="2105">
          <cell r="A2105" t="str">
            <v>50580-31059-00</v>
          </cell>
          <cell r="F2105">
            <v>0</v>
          </cell>
        </row>
        <row r="2106">
          <cell r="A2106" t="str">
            <v>50580-31060-00</v>
          </cell>
          <cell r="F2106">
            <v>0</v>
          </cell>
        </row>
        <row r="2107">
          <cell r="A2107" t="str">
            <v>50580-31061-00</v>
          </cell>
          <cell r="F2107">
            <v>0</v>
          </cell>
        </row>
        <row r="2108">
          <cell r="A2108" t="str">
            <v>50580-31062-00</v>
          </cell>
          <cell r="F2108">
            <v>0</v>
          </cell>
        </row>
        <row r="2109">
          <cell r="A2109" t="str">
            <v>50580-31063-00</v>
          </cell>
          <cell r="F2109">
            <v>0</v>
          </cell>
        </row>
        <row r="2110">
          <cell r="A2110" t="str">
            <v>50580-31064-00</v>
          </cell>
          <cell r="F2110">
            <v>0</v>
          </cell>
        </row>
        <row r="2111">
          <cell r="A2111" t="str">
            <v>50580-31065-00</v>
          </cell>
          <cell r="F2111">
            <v>0</v>
          </cell>
        </row>
        <row r="2112">
          <cell r="A2112" t="str">
            <v>50580-31066-00</v>
          </cell>
          <cell r="F2112">
            <v>0</v>
          </cell>
        </row>
        <row r="2113">
          <cell r="A2113" t="str">
            <v>50580-31067-00</v>
          </cell>
          <cell r="F2113">
            <v>0</v>
          </cell>
        </row>
        <row r="2114">
          <cell r="A2114" t="str">
            <v>50580-31068-00</v>
          </cell>
          <cell r="F2114">
            <v>0</v>
          </cell>
        </row>
        <row r="2115">
          <cell r="A2115" t="str">
            <v>50580-31069-00</v>
          </cell>
          <cell r="F2115">
            <v>0</v>
          </cell>
        </row>
        <row r="2116">
          <cell r="A2116" t="str">
            <v>50580-31070-00</v>
          </cell>
          <cell r="F2116">
            <v>0</v>
          </cell>
        </row>
        <row r="2117">
          <cell r="A2117" t="str">
            <v>50580-31071-00</v>
          </cell>
          <cell r="F2117">
            <v>0</v>
          </cell>
        </row>
        <row r="2118">
          <cell r="A2118" t="str">
            <v>50580-31072-00</v>
          </cell>
          <cell r="F2118">
            <v>0</v>
          </cell>
        </row>
        <row r="2119">
          <cell r="A2119" t="str">
            <v>50580-31073-00</v>
          </cell>
          <cell r="F2119">
            <v>0</v>
          </cell>
        </row>
        <row r="2120">
          <cell r="A2120" t="str">
            <v>50580-31074-00</v>
          </cell>
          <cell r="F2120">
            <v>11.41</v>
          </cell>
        </row>
        <row r="2121">
          <cell r="A2121" t="str">
            <v>50580-31075-00</v>
          </cell>
          <cell r="F2121">
            <v>0</v>
          </cell>
        </row>
        <row r="2122">
          <cell r="A2122" t="str">
            <v>50580-31076-00</v>
          </cell>
          <cell r="F2122">
            <v>0</v>
          </cell>
        </row>
        <row r="2123">
          <cell r="A2123" t="str">
            <v>50580-31077-00</v>
          </cell>
          <cell r="F2123">
            <v>0</v>
          </cell>
        </row>
        <row r="2124">
          <cell r="A2124" t="str">
            <v>50580-31078-00</v>
          </cell>
          <cell r="F2124">
            <v>0</v>
          </cell>
        </row>
        <row r="2125">
          <cell r="A2125" t="str">
            <v>50580-31900-00</v>
          </cell>
          <cell r="F2125">
            <v>189789.91</v>
          </cell>
        </row>
        <row r="2126">
          <cell r="A2126" t="str">
            <v>50580-31910-00</v>
          </cell>
          <cell r="F2126">
            <v>52165.88</v>
          </cell>
        </row>
        <row r="2127">
          <cell r="A2127" t="str">
            <v>50580-41001-00</v>
          </cell>
          <cell r="F2127">
            <v>0</v>
          </cell>
        </row>
        <row r="2128">
          <cell r="A2128" t="str">
            <v>50580-41002-00</v>
          </cell>
          <cell r="F2128">
            <v>0</v>
          </cell>
        </row>
        <row r="2129">
          <cell r="A2129" t="str">
            <v>50580-41003-00</v>
          </cell>
          <cell r="F2129">
            <v>0</v>
          </cell>
        </row>
        <row r="2130">
          <cell r="A2130" t="str">
            <v>50580-41004-00</v>
          </cell>
          <cell r="F2130">
            <v>0</v>
          </cell>
        </row>
        <row r="2131">
          <cell r="A2131" t="str">
            <v>50580-41005-00</v>
          </cell>
          <cell r="F2131">
            <v>0</v>
          </cell>
        </row>
        <row r="2132">
          <cell r="A2132" t="str">
            <v>50580-41009-00</v>
          </cell>
          <cell r="F2132">
            <v>0</v>
          </cell>
        </row>
        <row r="2133">
          <cell r="A2133" t="str">
            <v>50580-41029-00</v>
          </cell>
          <cell r="F2133">
            <v>0</v>
          </cell>
        </row>
        <row r="2134">
          <cell r="A2134" t="str">
            <v>50580-41030-00</v>
          </cell>
          <cell r="F2134">
            <v>0</v>
          </cell>
        </row>
        <row r="2135">
          <cell r="A2135" t="str">
            <v>50580-41031-00</v>
          </cell>
          <cell r="F2135">
            <v>0</v>
          </cell>
        </row>
        <row r="2136">
          <cell r="A2136" t="str">
            <v>50580-41032-00</v>
          </cell>
          <cell r="F2136">
            <v>0</v>
          </cell>
        </row>
        <row r="2137">
          <cell r="A2137" t="str">
            <v>50580-41041-00</v>
          </cell>
          <cell r="F2137">
            <v>0</v>
          </cell>
        </row>
        <row r="2138">
          <cell r="A2138" t="str">
            <v>50580-41049-00</v>
          </cell>
          <cell r="F2138">
            <v>450</v>
          </cell>
        </row>
        <row r="2139">
          <cell r="A2139" t="str">
            <v>50580-41052-00</v>
          </cell>
          <cell r="F2139">
            <v>0</v>
          </cell>
        </row>
        <row r="2140">
          <cell r="A2140" t="str">
            <v>50580-43001-00</v>
          </cell>
          <cell r="F2140">
            <v>0</v>
          </cell>
        </row>
        <row r="2141">
          <cell r="A2141" t="str">
            <v>50580-43002-00</v>
          </cell>
          <cell r="F2141">
            <v>0</v>
          </cell>
        </row>
        <row r="2142">
          <cell r="A2142" t="str">
            <v>50580-43003-00</v>
          </cell>
          <cell r="F2142">
            <v>0</v>
          </cell>
        </row>
        <row r="2143">
          <cell r="A2143" t="str">
            <v>50580-43005-00</v>
          </cell>
          <cell r="F2143">
            <v>0</v>
          </cell>
        </row>
        <row r="2144">
          <cell r="A2144" t="str">
            <v>50580-43009-00</v>
          </cell>
          <cell r="F2144">
            <v>0</v>
          </cell>
        </row>
        <row r="2145">
          <cell r="A2145" t="str">
            <v>50580-43029-00</v>
          </cell>
          <cell r="F2145">
            <v>0</v>
          </cell>
        </row>
        <row r="2146">
          <cell r="A2146" t="str">
            <v>50580-43030-00</v>
          </cell>
          <cell r="F2146">
            <v>-20</v>
          </cell>
        </row>
        <row r="2147">
          <cell r="A2147" t="str">
            <v>50580-43031-00</v>
          </cell>
          <cell r="F2147">
            <v>0</v>
          </cell>
        </row>
        <row r="2148">
          <cell r="A2148" t="str">
            <v>50580-43032-00</v>
          </cell>
          <cell r="F2148">
            <v>0</v>
          </cell>
        </row>
        <row r="2149">
          <cell r="A2149" t="str">
            <v>50580-43041-00</v>
          </cell>
          <cell r="F2149">
            <v>0</v>
          </cell>
        </row>
        <row r="2150">
          <cell r="A2150" t="str">
            <v>50580-43052-00</v>
          </cell>
          <cell r="F2150">
            <v>0</v>
          </cell>
        </row>
        <row r="2151">
          <cell r="A2151" t="str">
            <v>50580-45001-00</v>
          </cell>
          <cell r="F2151">
            <v>59267.41</v>
          </cell>
        </row>
        <row r="2152">
          <cell r="A2152" t="str">
            <v>50580-45002-00</v>
          </cell>
          <cell r="F2152">
            <v>315572.84000000003</v>
          </cell>
        </row>
        <row r="2153">
          <cell r="A2153" t="str">
            <v>50580-45003-00</v>
          </cell>
          <cell r="F2153">
            <v>157.96</v>
          </cell>
        </row>
        <row r="2154">
          <cell r="A2154" t="str">
            <v>50580-45005-00</v>
          </cell>
          <cell r="F2154">
            <v>13875.08</v>
          </cell>
        </row>
        <row r="2155">
          <cell r="A2155" t="str">
            <v>50580-45009-00</v>
          </cell>
          <cell r="F2155">
            <v>0</v>
          </cell>
        </row>
        <row r="2156">
          <cell r="A2156" t="str">
            <v>50580-45029-00</v>
          </cell>
          <cell r="F2156">
            <v>55611.3</v>
          </cell>
        </row>
        <row r="2157">
          <cell r="A2157" t="str">
            <v>50580-45030-00</v>
          </cell>
          <cell r="F2157">
            <v>20</v>
          </cell>
        </row>
        <row r="2158">
          <cell r="A2158" t="str">
            <v>50580-45031-00</v>
          </cell>
          <cell r="F2158">
            <v>0</v>
          </cell>
        </row>
        <row r="2159">
          <cell r="A2159" t="str">
            <v>50580-45032-00</v>
          </cell>
          <cell r="F2159">
            <v>2180</v>
          </cell>
        </row>
        <row r="2160">
          <cell r="A2160" t="str">
            <v>50580-45052-00</v>
          </cell>
          <cell r="F2160">
            <v>0</v>
          </cell>
        </row>
        <row r="2161">
          <cell r="A2161" t="str">
            <v>50580-51001-00</v>
          </cell>
          <cell r="F2161">
            <v>4850</v>
          </cell>
        </row>
        <row r="2162">
          <cell r="A2162" t="str">
            <v>50580-53001-00</v>
          </cell>
          <cell r="F2162">
            <v>0</v>
          </cell>
        </row>
        <row r="2163">
          <cell r="A2163" t="str">
            <v>50580-61030-00</v>
          </cell>
          <cell r="F2163">
            <v>24302.51</v>
          </cell>
        </row>
        <row r="2164">
          <cell r="A2164" t="str">
            <v>50580-61031-00</v>
          </cell>
          <cell r="F2164">
            <v>333195.58</v>
          </cell>
        </row>
        <row r="2165">
          <cell r="A2165" t="str">
            <v>50580-62030-00</v>
          </cell>
          <cell r="F2165">
            <v>2209.11</v>
          </cell>
        </row>
        <row r="2166">
          <cell r="A2166" t="str">
            <v>50580-62032-00</v>
          </cell>
          <cell r="F2166">
            <v>0</v>
          </cell>
        </row>
        <row r="2167">
          <cell r="A2167" t="str">
            <v>50580-63030-00</v>
          </cell>
          <cell r="F2167">
            <v>0</v>
          </cell>
        </row>
        <row r="2168">
          <cell r="A2168" t="str">
            <v>50580-63032-00</v>
          </cell>
          <cell r="F2168">
            <v>0</v>
          </cell>
        </row>
        <row r="2169">
          <cell r="A2169" t="str">
            <v>50580-64032-00</v>
          </cell>
          <cell r="F2169">
            <v>0</v>
          </cell>
        </row>
        <row r="2170">
          <cell r="A2170" t="str">
            <v>50580-89001-00</v>
          </cell>
          <cell r="F2170">
            <v>0</v>
          </cell>
        </row>
        <row r="2171">
          <cell r="A2171" t="str">
            <v>50600-11001-00</v>
          </cell>
          <cell r="F2171">
            <v>0</v>
          </cell>
        </row>
        <row r="2172">
          <cell r="A2172" t="str">
            <v>50600-11005-00</v>
          </cell>
          <cell r="F2172">
            <v>0</v>
          </cell>
        </row>
        <row r="2173">
          <cell r="A2173" t="str">
            <v>50600-13006-00</v>
          </cell>
          <cell r="F2173">
            <v>0</v>
          </cell>
        </row>
        <row r="2174">
          <cell r="A2174" t="str">
            <v>50600-13007-00</v>
          </cell>
          <cell r="F2174">
            <v>0</v>
          </cell>
        </row>
        <row r="2175">
          <cell r="A2175" t="str">
            <v>50600-14001-00</v>
          </cell>
          <cell r="F2175">
            <v>0</v>
          </cell>
        </row>
        <row r="2176">
          <cell r="A2176" t="str">
            <v>50600-15001-00</v>
          </cell>
          <cell r="F2176">
            <v>-2538.81</v>
          </cell>
        </row>
        <row r="2177">
          <cell r="A2177" t="str">
            <v>50600-15005-00</v>
          </cell>
          <cell r="F2177">
            <v>0</v>
          </cell>
        </row>
        <row r="2178">
          <cell r="A2178" t="str">
            <v>52000-00000-00</v>
          </cell>
          <cell r="F2178">
            <v>0</v>
          </cell>
        </row>
        <row r="2179">
          <cell r="A2179" t="str">
            <v>52000-51001-00</v>
          </cell>
          <cell r="F2179">
            <v>6204.14</v>
          </cell>
        </row>
        <row r="2180">
          <cell r="A2180" t="str">
            <v>52000-51005-00</v>
          </cell>
          <cell r="F2180">
            <v>0</v>
          </cell>
        </row>
        <row r="2181">
          <cell r="A2181" t="str">
            <v>52020-51001-00</v>
          </cell>
          <cell r="F2181">
            <v>1121595.0900000001</v>
          </cell>
        </row>
        <row r="2182">
          <cell r="A2182" t="str">
            <v>52020-51005-00</v>
          </cell>
          <cell r="F2182">
            <v>0</v>
          </cell>
        </row>
        <row r="2183">
          <cell r="A2183" t="str">
            <v>56015-51001-00</v>
          </cell>
          <cell r="F2183">
            <v>5867970.5</v>
          </cell>
        </row>
        <row r="2184">
          <cell r="A2184" t="str">
            <v>56015-51005-00</v>
          </cell>
          <cell r="F2184">
            <v>0</v>
          </cell>
        </row>
        <row r="2185">
          <cell r="A2185" t="str">
            <v>58300-00000-00</v>
          </cell>
          <cell r="F2185">
            <v>0</v>
          </cell>
        </row>
        <row r="2186">
          <cell r="A2186" t="str">
            <v>58300-11001-00</v>
          </cell>
          <cell r="F2186">
            <v>-1489.14</v>
          </cell>
        </row>
        <row r="2187">
          <cell r="A2187" t="str">
            <v>58300-11005-00</v>
          </cell>
          <cell r="F2187">
            <v>0</v>
          </cell>
        </row>
        <row r="2188">
          <cell r="A2188" t="str">
            <v>58300-13006-00</v>
          </cell>
          <cell r="F2188">
            <v>0</v>
          </cell>
        </row>
        <row r="2189">
          <cell r="A2189" t="str">
            <v>58300-13007-00</v>
          </cell>
          <cell r="F2189">
            <v>19450.080000000002</v>
          </cell>
        </row>
        <row r="2190">
          <cell r="A2190" t="str">
            <v>58300-13008-00</v>
          </cell>
          <cell r="F2190">
            <v>0</v>
          </cell>
        </row>
        <row r="2191">
          <cell r="A2191" t="str">
            <v>58300-14001-00</v>
          </cell>
          <cell r="F2191">
            <v>5.19</v>
          </cell>
        </row>
        <row r="2192">
          <cell r="A2192" t="str">
            <v>58300-14049-00</v>
          </cell>
          <cell r="F2192">
            <v>0</v>
          </cell>
        </row>
        <row r="2193">
          <cell r="A2193" t="str">
            <v>58300-15001-00</v>
          </cell>
          <cell r="F2193">
            <v>11970.63</v>
          </cell>
        </row>
        <row r="2194">
          <cell r="A2194" t="str">
            <v>58300-15005-00</v>
          </cell>
          <cell r="F2194">
            <v>0</v>
          </cell>
        </row>
        <row r="2195">
          <cell r="A2195" t="str">
            <v>58300-31010-00</v>
          </cell>
          <cell r="F2195">
            <v>-43437.55</v>
          </cell>
        </row>
        <row r="2196">
          <cell r="A2196" t="str">
            <v>58300-31011-00</v>
          </cell>
          <cell r="F2196">
            <v>89.76</v>
          </cell>
        </row>
        <row r="2197">
          <cell r="A2197" t="str">
            <v>58300-31012-00</v>
          </cell>
          <cell r="F2197">
            <v>1391.63</v>
          </cell>
        </row>
        <row r="2198">
          <cell r="A2198" t="str">
            <v>58300-31013-00</v>
          </cell>
          <cell r="F2198">
            <v>-1135.8699999999999</v>
          </cell>
        </row>
        <row r="2199">
          <cell r="A2199" t="str">
            <v>58300-31014-00</v>
          </cell>
          <cell r="F2199">
            <v>0</v>
          </cell>
        </row>
        <row r="2200">
          <cell r="A2200" t="str">
            <v>58300-31015-00</v>
          </cell>
          <cell r="F2200">
            <v>0</v>
          </cell>
        </row>
        <row r="2201">
          <cell r="A2201" t="str">
            <v>58300-31016-00</v>
          </cell>
          <cell r="F2201">
            <v>0</v>
          </cell>
        </row>
        <row r="2202">
          <cell r="A2202" t="str">
            <v>58300-31017-00</v>
          </cell>
          <cell r="F2202">
            <v>0.14000000000000001</v>
          </cell>
        </row>
        <row r="2203">
          <cell r="A2203" t="str">
            <v>58300-31018-00</v>
          </cell>
          <cell r="F2203">
            <v>9314.6299999999992</v>
          </cell>
        </row>
        <row r="2204">
          <cell r="A2204" t="str">
            <v>58300-31019-00</v>
          </cell>
          <cell r="F2204">
            <v>1206.3900000000001</v>
          </cell>
        </row>
        <row r="2205">
          <cell r="A2205" t="str">
            <v>58300-31020-00</v>
          </cell>
          <cell r="F2205">
            <v>0</v>
          </cell>
        </row>
        <row r="2206">
          <cell r="A2206" t="str">
            <v>58300-31021-00</v>
          </cell>
          <cell r="F2206">
            <v>0.01</v>
          </cell>
        </row>
        <row r="2207">
          <cell r="A2207" t="str">
            <v>58300-31022-00</v>
          </cell>
          <cell r="F2207">
            <v>1354.7</v>
          </cell>
        </row>
        <row r="2208">
          <cell r="A2208" t="str">
            <v>58300-31023-00</v>
          </cell>
          <cell r="F2208">
            <v>-2030.21</v>
          </cell>
        </row>
        <row r="2209">
          <cell r="A2209" t="str">
            <v>58300-31024-00</v>
          </cell>
          <cell r="F2209">
            <v>0</v>
          </cell>
        </row>
        <row r="2210">
          <cell r="A2210" t="str">
            <v>58300-31025-00</v>
          </cell>
          <cell r="F2210">
            <v>0.84</v>
          </cell>
        </row>
        <row r="2211">
          <cell r="A2211" t="str">
            <v>58300-31026-00</v>
          </cell>
          <cell r="F2211">
            <v>0</v>
          </cell>
        </row>
        <row r="2212">
          <cell r="A2212" t="str">
            <v>58300-31027-00</v>
          </cell>
          <cell r="F2212">
            <v>0</v>
          </cell>
        </row>
        <row r="2213">
          <cell r="A2213" t="str">
            <v>58300-31028-00</v>
          </cell>
          <cell r="F2213">
            <v>2193.77</v>
          </cell>
        </row>
        <row r="2214">
          <cell r="A2214" t="str">
            <v>58300-31029-00</v>
          </cell>
          <cell r="F2214">
            <v>0</v>
          </cell>
        </row>
        <row r="2215">
          <cell r="A2215" t="str">
            <v>58300-31030-00</v>
          </cell>
          <cell r="F2215">
            <v>-12603.33</v>
          </cell>
        </row>
        <row r="2216">
          <cell r="A2216" t="str">
            <v>58300-31031-00</v>
          </cell>
          <cell r="F2216">
            <v>0</v>
          </cell>
        </row>
        <row r="2217">
          <cell r="A2217" t="str">
            <v>58300-31032-00</v>
          </cell>
          <cell r="F2217">
            <v>0</v>
          </cell>
        </row>
        <row r="2218">
          <cell r="A2218" t="str">
            <v>58300-31033-00</v>
          </cell>
          <cell r="F2218">
            <v>-3324.94</v>
          </cell>
        </row>
        <row r="2219">
          <cell r="A2219" t="str">
            <v>58300-31034-00</v>
          </cell>
          <cell r="F2219">
            <v>0</v>
          </cell>
        </row>
        <row r="2220">
          <cell r="A2220" t="str">
            <v>58300-31035-00</v>
          </cell>
          <cell r="F2220">
            <v>0</v>
          </cell>
        </row>
        <row r="2221">
          <cell r="A2221" t="str">
            <v>58300-31036-00</v>
          </cell>
          <cell r="F2221">
            <v>0</v>
          </cell>
        </row>
        <row r="2222">
          <cell r="A2222" t="str">
            <v>58300-31037-00</v>
          </cell>
          <cell r="F2222">
            <v>0</v>
          </cell>
        </row>
        <row r="2223">
          <cell r="A2223" t="str">
            <v>58300-31038-00</v>
          </cell>
          <cell r="F2223">
            <v>0.41</v>
          </cell>
        </row>
        <row r="2224">
          <cell r="A2224" t="str">
            <v>58300-31039-00</v>
          </cell>
          <cell r="F2224">
            <v>0.16</v>
          </cell>
        </row>
        <row r="2225">
          <cell r="A2225" t="str">
            <v>58300-31040-00</v>
          </cell>
          <cell r="F2225">
            <v>-0.03</v>
          </cell>
        </row>
        <row r="2226">
          <cell r="A2226" t="str">
            <v>58300-31041-00</v>
          </cell>
          <cell r="F2226">
            <v>0</v>
          </cell>
        </row>
        <row r="2227">
          <cell r="A2227" t="str">
            <v>58300-31042-00</v>
          </cell>
          <cell r="F2227">
            <v>-1.01</v>
          </cell>
        </row>
        <row r="2228">
          <cell r="A2228" t="str">
            <v>58300-31043-00</v>
          </cell>
          <cell r="F2228">
            <v>-6973.63</v>
          </cell>
        </row>
        <row r="2229">
          <cell r="A2229" t="str">
            <v>58300-31044-00</v>
          </cell>
          <cell r="F2229">
            <v>0</v>
          </cell>
        </row>
        <row r="2230">
          <cell r="A2230" t="str">
            <v>58300-31045-00</v>
          </cell>
          <cell r="F2230">
            <v>0</v>
          </cell>
        </row>
        <row r="2231">
          <cell r="A2231" t="str">
            <v>58300-31046-00</v>
          </cell>
          <cell r="F2231">
            <v>14437.72</v>
          </cell>
        </row>
        <row r="2232">
          <cell r="A2232" t="str">
            <v>58300-31047-00</v>
          </cell>
          <cell r="F2232">
            <v>0</v>
          </cell>
        </row>
        <row r="2233">
          <cell r="A2233" t="str">
            <v>58300-31048-00</v>
          </cell>
          <cell r="F2233">
            <v>-959.26</v>
          </cell>
        </row>
        <row r="2234">
          <cell r="A2234" t="str">
            <v>58300-31049-00</v>
          </cell>
          <cell r="F2234">
            <v>0</v>
          </cell>
        </row>
        <row r="2235">
          <cell r="A2235" t="str">
            <v>58300-31050-00</v>
          </cell>
          <cell r="F2235">
            <v>0</v>
          </cell>
        </row>
        <row r="2236">
          <cell r="A2236" t="str">
            <v>58300-31051-00</v>
          </cell>
          <cell r="F2236">
            <v>0.19</v>
          </cell>
        </row>
        <row r="2237">
          <cell r="A2237" t="str">
            <v>58300-31053-00</v>
          </cell>
          <cell r="F2237">
            <v>118.33</v>
          </cell>
        </row>
        <row r="2238">
          <cell r="A2238" t="str">
            <v>58300-31054-00</v>
          </cell>
          <cell r="F2238">
            <v>-0.2</v>
          </cell>
        </row>
        <row r="2239">
          <cell r="A2239" t="str">
            <v>58300-31055-00</v>
          </cell>
          <cell r="F2239">
            <v>1343.27</v>
          </cell>
        </row>
        <row r="2240">
          <cell r="A2240" t="str">
            <v>58300-31056-00</v>
          </cell>
          <cell r="F2240">
            <v>0</v>
          </cell>
        </row>
        <row r="2241">
          <cell r="A2241" t="str">
            <v>58300-31057-00</v>
          </cell>
          <cell r="F2241">
            <v>0.03</v>
          </cell>
        </row>
        <row r="2242">
          <cell r="A2242" t="str">
            <v>58300-31058-00</v>
          </cell>
          <cell r="F2242">
            <v>0</v>
          </cell>
        </row>
        <row r="2243">
          <cell r="A2243" t="str">
            <v>58300-31059-00</v>
          </cell>
          <cell r="F2243">
            <v>0</v>
          </cell>
        </row>
        <row r="2244">
          <cell r="A2244" t="str">
            <v>58300-31060-00</v>
          </cell>
          <cell r="F2244">
            <v>7.0000000000000007E-2</v>
          </cell>
        </row>
        <row r="2245">
          <cell r="A2245" t="str">
            <v>58300-31061-00</v>
          </cell>
          <cell r="F2245">
            <v>0</v>
          </cell>
        </row>
        <row r="2246">
          <cell r="A2246" t="str">
            <v>58300-31062-00</v>
          </cell>
          <cell r="F2246">
            <v>-0.02</v>
          </cell>
        </row>
        <row r="2247">
          <cell r="A2247" t="str">
            <v>58300-31063-00</v>
          </cell>
          <cell r="F2247">
            <v>0</v>
          </cell>
        </row>
        <row r="2248">
          <cell r="A2248" t="str">
            <v>58300-31064-00</v>
          </cell>
          <cell r="F2248">
            <v>0</v>
          </cell>
        </row>
        <row r="2249">
          <cell r="A2249" t="str">
            <v>58300-31065-00</v>
          </cell>
          <cell r="F2249">
            <v>-2341.5</v>
          </cell>
        </row>
        <row r="2250">
          <cell r="A2250" t="str">
            <v>58300-31066-00</v>
          </cell>
          <cell r="F2250">
            <v>0.19</v>
          </cell>
        </row>
        <row r="2251">
          <cell r="A2251" t="str">
            <v>58300-31067-00</v>
          </cell>
          <cell r="F2251">
            <v>0</v>
          </cell>
        </row>
        <row r="2252">
          <cell r="A2252" t="str">
            <v>58300-31068-00</v>
          </cell>
          <cell r="F2252">
            <v>57810.48</v>
          </cell>
        </row>
        <row r="2253">
          <cell r="A2253" t="str">
            <v>58300-31069-00</v>
          </cell>
          <cell r="F2253">
            <v>0</v>
          </cell>
        </row>
        <row r="2254">
          <cell r="A2254" t="str">
            <v>58300-31070-00</v>
          </cell>
          <cell r="F2254">
            <v>1254.26</v>
          </cell>
        </row>
        <row r="2255">
          <cell r="A2255" t="str">
            <v>58300-31071-00</v>
          </cell>
          <cell r="F2255">
            <v>-0.05</v>
          </cell>
        </row>
        <row r="2256">
          <cell r="A2256" t="str">
            <v>58300-31072-00</v>
          </cell>
          <cell r="F2256">
            <v>-1650.39</v>
          </cell>
        </row>
        <row r="2257">
          <cell r="A2257" t="str">
            <v>58300-31073-00</v>
          </cell>
          <cell r="F2257">
            <v>0.8</v>
          </cell>
        </row>
        <row r="2258">
          <cell r="A2258" t="str">
            <v>58300-31074-00</v>
          </cell>
          <cell r="F2258">
            <v>0.55000000000000004</v>
          </cell>
        </row>
        <row r="2259">
          <cell r="A2259" t="str">
            <v>58300-31075-00</v>
          </cell>
          <cell r="F2259">
            <v>0</v>
          </cell>
        </row>
        <row r="2260">
          <cell r="A2260" t="str">
            <v>58300-31076-00</v>
          </cell>
          <cell r="F2260">
            <v>0</v>
          </cell>
        </row>
        <row r="2261">
          <cell r="A2261" t="str">
            <v>58300-31077-00</v>
          </cell>
          <cell r="F2261">
            <v>-0.08</v>
          </cell>
        </row>
        <row r="2262">
          <cell r="A2262" t="str">
            <v>58300-31078-00</v>
          </cell>
          <cell r="F2262">
            <v>0</v>
          </cell>
        </row>
        <row r="2263">
          <cell r="A2263" t="str">
            <v>58300-31900-00</v>
          </cell>
          <cell r="F2263">
            <v>3181.92</v>
          </cell>
        </row>
        <row r="2264">
          <cell r="A2264" t="str">
            <v>58300-31910-00</v>
          </cell>
          <cell r="F2264">
            <v>-1515.88</v>
          </cell>
        </row>
        <row r="2265">
          <cell r="A2265" t="str">
            <v>58300-41001-00</v>
          </cell>
          <cell r="F2265">
            <v>46783.62</v>
          </cell>
        </row>
        <row r="2266">
          <cell r="A2266" t="str">
            <v>58300-41002-00</v>
          </cell>
          <cell r="F2266">
            <v>-7719.89</v>
          </cell>
        </row>
        <row r="2267">
          <cell r="A2267" t="str">
            <v>58300-41003-00</v>
          </cell>
          <cell r="F2267">
            <v>41038.43</v>
          </cell>
        </row>
        <row r="2268">
          <cell r="A2268" t="str">
            <v>58300-41004-00</v>
          </cell>
          <cell r="F2268">
            <v>7557.62</v>
          </cell>
        </row>
        <row r="2269">
          <cell r="A2269" t="str">
            <v>58300-41005-00</v>
          </cell>
          <cell r="F2269">
            <v>417.63</v>
          </cell>
        </row>
        <row r="2270">
          <cell r="A2270" t="str">
            <v>58300-41009-00</v>
          </cell>
          <cell r="F2270">
            <v>-789.91</v>
          </cell>
        </row>
        <row r="2271">
          <cell r="A2271" t="str">
            <v>58300-41029-00</v>
          </cell>
          <cell r="F2271">
            <v>30742.61</v>
          </cell>
        </row>
        <row r="2272">
          <cell r="A2272" t="str">
            <v>58300-41030-00</v>
          </cell>
          <cell r="F2272">
            <v>-4440.6000000000004</v>
          </cell>
        </row>
        <row r="2273">
          <cell r="A2273" t="str">
            <v>58300-41031-00</v>
          </cell>
          <cell r="F2273">
            <v>434.86</v>
          </cell>
        </row>
        <row r="2274">
          <cell r="A2274" t="str">
            <v>58300-41032-00</v>
          </cell>
          <cell r="F2274">
            <v>2584.2600000000002</v>
          </cell>
        </row>
        <row r="2275">
          <cell r="A2275" t="str">
            <v>58300-41041-00</v>
          </cell>
          <cell r="F2275">
            <v>2738.95</v>
          </cell>
        </row>
        <row r="2276">
          <cell r="A2276" t="str">
            <v>58300-41049-00</v>
          </cell>
          <cell r="F2276">
            <v>-1024.1300000000001</v>
          </cell>
        </row>
        <row r="2277">
          <cell r="A2277" t="str">
            <v>58300-41052-00</v>
          </cell>
          <cell r="F2277">
            <v>0</v>
          </cell>
        </row>
        <row r="2278">
          <cell r="A2278" t="str">
            <v>58300-43001-00</v>
          </cell>
          <cell r="F2278">
            <v>31793.93</v>
          </cell>
        </row>
        <row r="2279">
          <cell r="A2279" t="str">
            <v>58300-43002-00</v>
          </cell>
          <cell r="F2279">
            <v>16726.7</v>
          </cell>
        </row>
        <row r="2280">
          <cell r="A2280" t="str">
            <v>58300-43003-00</v>
          </cell>
          <cell r="F2280">
            <v>15756.35</v>
          </cell>
        </row>
        <row r="2281">
          <cell r="A2281" t="str">
            <v>58300-43005-00</v>
          </cell>
          <cell r="F2281">
            <v>26079.82</v>
          </cell>
        </row>
        <row r="2282">
          <cell r="A2282" t="str">
            <v>58300-43009-00</v>
          </cell>
          <cell r="F2282">
            <v>5397.3</v>
          </cell>
        </row>
        <row r="2283">
          <cell r="A2283" t="str">
            <v>58300-43029-00</v>
          </cell>
          <cell r="F2283">
            <v>6077.24</v>
          </cell>
        </row>
        <row r="2284">
          <cell r="A2284" t="str">
            <v>58300-43030-00</v>
          </cell>
          <cell r="F2284">
            <v>38070.18</v>
          </cell>
        </row>
        <row r="2285">
          <cell r="A2285" t="str">
            <v>58300-43031-00</v>
          </cell>
          <cell r="F2285">
            <v>-10978.89</v>
          </cell>
        </row>
        <row r="2286">
          <cell r="A2286" t="str">
            <v>58300-43032-00</v>
          </cell>
          <cell r="F2286">
            <v>-2069.5700000000002</v>
          </cell>
        </row>
        <row r="2287">
          <cell r="A2287" t="str">
            <v>58300-43041-00</v>
          </cell>
          <cell r="F2287">
            <v>-23312.799999999999</v>
          </cell>
        </row>
        <row r="2288">
          <cell r="A2288" t="str">
            <v>58300-43052-00</v>
          </cell>
          <cell r="F2288">
            <v>0</v>
          </cell>
        </row>
        <row r="2289">
          <cell r="A2289" t="str">
            <v>58300-45001-00</v>
          </cell>
          <cell r="F2289">
            <v>81056.210000000006</v>
          </cell>
        </row>
        <row r="2290">
          <cell r="A2290" t="str">
            <v>58300-45002-00</v>
          </cell>
          <cell r="F2290">
            <v>90014.71</v>
          </cell>
        </row>
        <row r="2291">
          <cell r="A2291" t="str">
            <v>58300-45003-00</v>
          </cell>
          <cell r="F2291">
            <v>6.67</v>
          </cell>
        </row>
        <row r="2292">
          <cell r="A2292" t="str">
            <v>58300-45005-00</v>
          </cell>
          <cell r="F2292">
            <v>80291.25</v>
          </cell>
        </row>
        <row r="2293">
          <cell r="A2293" t="str">
            <v>58300-45009-00</v>
          </cell>
          <cell r="F2293">
            <v>386.36</v>
          </cell>
        </row>
        <row r="2294">
          <cell r="A2294" t="str">
            <v>58300-45029-00</v>
          </cell>
          <cell r="F2294">
            <v>6969.04</v>
          </cell>
        </row>
        <row r="2295">
          <cell r="A2295" t="str">
            <v>58300-45030-00</v>
          </cell>
          <cell r="F2295">
            <v>73812.210000000006</v>
          </cell>
        </row>
        <row r="2296">
          <cell r="A2296" t="str">
            <v>58300-45031-00</v>
          </cell>
          <cell r="F2296">
            <v>71385.039999999994</v>
          </cell>
        </row>
        <row r="2297">
          <cell r="A2297" t="str">
            <v>58300-45032-00</v>
          </cell>
          <cell r="F2297">
            <v>7537.15</v>
          </cell>
        </row>
        <row r="2298">
          <cell r="A2298" t="str">
            <v>58300-45052-00</v>
          </cell>
          <cell r="F2298">
            <v>2668.13</v>
          </cell>
        </row>
        <row r="2299">
          <cell r="A2299" t="str">
            <v>58300-61030-00</v>
          </cell>
          <cell r="F2299">
            <v>3295.48</v>
          </cell>
        </row>
        <row r="2300">
          <cell r="A2300" t="str">
            <v>58300-61031-00</v>
          </cell>
          <cell r="F2300">
            <v>3929.91</v>
          </cell>
        </row>
        <row r="2301">
          <cell r="A2301" t="str">
            <v>58300-62030-00</v>
          </cell>
          <cell r="F2301">
            <v>6647.02</v>
          </cell>
        </row>
        <row r="2302">
          <cell r="A2302" t="str">
            <v>58300-62032-00</v>
          </cell>
          <cell r="F2302">
            <v>-1186.81</v>
          </cell>
        </row>
        <row r="2303">
          <cell r="A2303" t="str">
            <v>58300-63030-00</v>
          </cell>
          <cell r="F2303">
            <v>-64081.2</v>
          </cell>
        </row>
        <row r="2304">
          <cell r="A2304" t="str">
            <v>58300-63032-00</v>
          </cell>
          <cell r="F2304">
            <v>-23136.94</v>
          </cell>
        </row>
        <row r="2305">
          <cell r="A2305" t="str">
            <v>58300-64032-00</v>
          </cell>
          <cell r="F2305">
            <v>129356.87</v>
          </cell>
        </row>
        <row r="2306">
          <cell r="A2306" t="str">
            <v>58300-89001-00</v>
          </cell>
          <cell r="F2306">
            <v>0</v>
          </cell>
        </row>
        <row r="2307">
          <cell r="A2307" t="str">
            <v>58350-11001-00</v>
          </cell>
          <cell r="F2307">
            <v>125886.7</v>
          </cell>
        </row>
        <row r="2308">
          <cell r="A2308" t="str">
            <v>58350-13007-00</v>
          </cell>
          <cell r="F2308">
            <v>0</v>
          </cell>
        </row>
        <row r="2309">
          <cell r="A2309" t="str">
            <v>58350-14001-00</v>
          </cell>
          <cell r="F2309">
            <v>-16379.1</v>
          </cell>
        </row>
        <row r="2310">
          <cell r="A2310" t="str">
            <v>58350-14049-00</v>
          </cell>
          <cell r="F2310">
            <v>0</v>
          </cell>
        </row>
        <row r="2311">
          <cell r="A2311" t="str">
            <v>58350-15001-00</v>
          </cell>
          <cell r="F2311">
            <v>102790.28</v>
          </cell>
        </row>
        <row r="2312">
          <cell r="A2312" t="str">
            <v>58350-31022-00</v>
          </cell>
          <cell r="F2312">
            <v>0</v>
          </cell>
        </row>
        <row r="2313">
          <cell r="A2313" t="str">
            <v>58350-31054-00</v>
          </cell>
          <cell r="F2313">
            <v>0</v>
          </cell>
        </row>
        <row r="2314">
          <cell r="A2314" t="str">
            <v>58350-31071-00</v>
          </cell>
          <cell r="F2314">
            <v>0</v>
          </cell>
        </row>
        <row r="2315">
          <cell r="A2315" t="str">
            <v>58350-31072-00</v>
          </cell>
          <cell r="F2315">
            <v>0</v>
          </cell>
        </row>
        <row r="2316">
          <cell r="A2316" t="str">
            <v>58350-41001-00</v>
          </cell>
          <cell r="F2316">
            <v>28961.66</v>
          </cell>
        </row>
        <row r="2317">
          <cell r="A2317" t="str">
            <v>58350-41002-00</v>
          </cell>
          <cell r="F2317">
            <v>10160.51</v>
          </cell>
        </row>
        <row r="2318">
          <cell r="A2318" t="str">
            <v>58350-41003-00</v>
          </cell>
          <cell r="F2318">
            <v>124458.72</v>
          </cell>
        </row>
        <row r="2319">
          <cell r="A2319" t="str">
            <v>58350-41004-00</v>
          </cell>
          <cell r="F2319">
            <v>8752.15</v>
          </cell>
        </row>
        <row r="2320">
          <cell r="A2320" t="str">
            <v>58350-41005-00</v>
          </cell>
          <cell r="F2320">
            <v>3547.63</v>
          </cell>
        </row>
        <row r="2321">
          <cell r="A2321" t="str">
            <v>58350-41009-00</v>
          </cell>
          <cell r="F2321">
            <v>3206.41</v>
          </cell>
        </row>
        <row r="2322">
          <cell r="A2322" t="str">
            <v>58350-41029-00</v>
          </cell>
          <cell r="F2322">
            <v>23785.02</v>
          </cell>
        </row>
        <row r="2323">
          <cell r="A2323" t="str">
            <v>58350-41030-00</v>
          </cell>
          <cell r="F2323">
            <v>0</v>
          </cell>
        </row>
        <row r="2324">
          <cell r="A2324" t="str">
            <v>58350-41031-00</v>
          </cell>
          <cell r="F2324">
            <v>0</v>
          </cell>
        </row>
        <row r="2325">
          <cell r="A2325" t="str">
            <v>58350-41032-00</v>
          </cell>
          <cell r="F2325">
            <v>0</v>
          </cell>
        </row>
        <row r="2326">
          <cell r="A2326" t="str">
            <v>58350-41041-00</v>
          </cell>
          <cell r="F2326">
            <v>0</v>
          </cell>
        </row>
        <row r="2327">
          <cell r="A2327" t="str">
            <v>58350-41049-00</v>
          </cell>
          <cell r="F2327">
            <v>0</v>
          </cell>
        </row>
        <row r="2328">
          <cell r="A2328" t="str">
            <v>58350-41052-00</v>
          </cell>
          <cell r="F2328">
            <v>0</v>
          </cell>
        </row>
        <row r="2329">
          <cell r="A2329" t="str">
            <v>58350-43001-00</v>
          </cell>
          <cell r="F2329">
            <v>0</v>
          </cell>
        </row>
        <row r="2330">
          <cell r="A2330" t="str">
            <v>58350-43003-00</v>
          </cell>
          <cell r="F2330">
            <v>141880.59</v>
          </cell>
        </row>
        <row r="2331">
          <cell r="A2331" t="str">
            <v>58350-43005-00</v>
          </cell>
          <cell r="F2331">
            <v>0</v>
          </cell>
        </row>
        <row r="2332">
          <cell r="A2332" t="str">
            <v>58350-43029-00</v>
          </cell>
          <cell r="F2332">
            <v>6518.5</v>
          </cell>
        </row>
        <row r="2333">
          <cell r="A2333" t="str">
            <v>58350-43030-00</v>
          </cell>
          <cell r="F2333">
            <v>0</v>
          </cell>
        </row>
        <row r="2334">
          <cell r="A2334" t="str">
            <v>58350-43031-00</v>
          </cell>
          <cell r="F2334">
            <v>0</v>
          </cell>
        </row>
        <row r="2335">
          <cell r="A2335" t="str">
            <v>58350-43032-00</v>
          </cell>
          <cell r="F2335">
            <v>0</v>
          </cell>
        </row>
        <row r="2336">
          <cell r="A2336" t="str">
            <v>58350-43041-00</v>
          </cell>
          <cell r="F2336">
            <v>0</v>
          </cell>
        </row>
        <row r="2337">
          <cell r="A2337" t="str">
            <v>58350-45001-00</v>
          </cell>
          <cell r="F2337">
            <v>-18015.63</v>
          </cell>
        </row>
        <row r="2338">
          <cell r="A2338" t="str">
            <v>58350-45002-00</v>
          </cell>
          <cell r="F2338">
            <v>42432.7</v>
          </cell>
        </row>
        <row r="2339">
          <cell r="A2339" t="str">
            <v>58350-45003-00</v>
          </cell>
          <cell r="F2339">
            <v>0</v>
          </cell>
        </row>
        <row r="2340">
          <cell r="A2340" t="str">
            <v>58350-45005-00</v>
          </cell>
          <cell r="F2340">
            <v>0</v>
          </cell>
        </row>
        <row r="2341">
          <cell r="A2341" t="str">
            <v>58350-45009-00</v>
          </cell>
          <cell r="F2341">
            <v>0</v>
          </cell>
        </row>
        <row r="2342">
          <cell r="A2342" t="str">
            <v>58350-45029-00</v>
          </cell>
          <cell r="F2342">
            <v>-20796.75</v>
          </cell>
        </row>
        <row r="2343">
          <cell r="A2343" t="str">
            <v>58350-45030-00</v>
          </cell>
          <cell r="F2343">
            <v>0</v>
          </cell>
        </row>
        <row r="2344">
          <cell r="A2344" t="str">
            <v>58350-45031-00</v>
          </cell>
          <cell r="F2344">
            <v>0</v>
          </cell>
        </row>
        <row r="2345">
          <cell r="A2345" t="str">
            <v>58350-45032-00</v>
          </cell>
          <cell r="F2345">
            <v>0</v>
          </cell>
        </row>
        <row r="2346">
          <cell r="A2346" t="str">
            <v>58350-45052-00</v>
          </cell>
          <cell r="F2346">
            <v>0</v>
          </cell>
        </row>
        <row r="2347">
          <cell r="A2347" t="str">
            <v>58350-61030-00</v>
          </cell>
          <cell r="F2347">
            <v>0</v>
          </cell>
        </row>
        <row r="2348">
          <cell r="A2348" t="str">
            <v>58350-61031-00</v>
          </cell>
          <cell r="F2348">
            <v>0</v>
          </cell>
        </row>
        <row r="2349">
          <cell r="A2349" t="str">
            <v>58350-62030-00</v>
          </cell>
          <cell r="F2349">
            <v>0</v>
          </cell>
        </row>
        <row r="2350">
          <cell r="A2350" t="str">
            <v>58350-62032-00</v>
          </cell>
          <cell r="F2350">
            <v>0</v>
          </cell>
        </row>
        <row r="2351">
          <cell r="A2351" t="str">
            <v>58350-63030-00</v>
          </cell>
          <cell r="F2351">
            <v>0</v>
          </cell>
        </row>
        <row r="2352">
          <cell r="A2352" t="str">
            <v>58350-63032-00</v>
          </cell>
          <cell r="F2352">
            <v>0</v>
          </cell>
        </row>
        <row r="2353">
          <cell r="A2353" t="str">
            <v>58350-64032-00</v>
          </cell>
          <cell r="F2353">
            <v>0</v>
          </cell>
        </row>
        <row r="2354">
          <cell r="A2354" t="str">
            <v>58700-00000-00</v>
          </cell>
          <cell r="F2354">
            <v>0</v>
          </cell>
        </row>
        <row r="2355">
          <cell r="A2355" t="str">
            <v>58700-11001-00</v>
          </cell>
          <cell r="F2355">
            <v>0</v>
          </cell>
        </row>
        <row r="2356">
          <cell r="A2356" t="str">
            <v>58700-11005-00</v>
          </cell>
          <cell r="F2356">
            <v>0</v>
          </cell>
        </row>
        <row r="2357">
          <cell r="A2357" t="str">
            <v>58700-15001-00</v>
          </cell>
          <cell r="F2357">
            <v>0</v>
          </cell>
        </row>
        <row r="2358">
          <cell r="A2358" t="str">
            <v>58700-15005-00</v>
          </cell>
          <cell r="F2358">
            <v>0</v>
          </cell>
        </row>
        <row r="2359">
          <cell r="A2359" t="str">
            <v>58700-31001-00</v>
          </cell>
          <cell r="F2359">
            <v>15910.46</v>
          </cell>
        </row>
        <row r="2360">
          <cell r="A2360" t="str">
            <v>58700-31010-00</v>
          </cell>
          <cell r="F2360">
            <v>0</v>
          </cell>
        </row>
        <row r="2361">
          <cell r="A2361" t="str">
            <v>58700-31011-00</v>
          </cell>
          <cell r="F2361">
            <v>0</v>
          </cell>
        </row>
        <row r="2362">
          <cell r="A2362" t="str">
            <v>58700-31012-00</v>
          </cell>
          <cell r="F2362">
            <v>0</v>
          </cell>
        </row>
        <row r="2363">
          <cell r="A2363" t="str">
            <v>58700-31013-00</v>
          </cell>
          <cell r="F2363">
            <v>0</v>
          </cell>
        </row>
        <row r="2364">
          <cell r="A2364" t="str">
            <v>58700-31014-00</v>
          </cell>
          <cell r="F2364">
            <v>0</v>
          </cell>
        </row>
        <row r="2365">
          <cell r="A2365" t="str">
            <v>58700-31015-00</v>
          </cell>
          <cell r="F2365">
            <v>0</v>
          </cell>
        </row>
        <row r="2366">
          <cell r="A2366" t="str">
            <v>58700-31016-00</v>
          </cell>
          <cell r="F2366">
            <v>0</v>
          </cell>
        </row>
        <row r="2367">
          <cell r="A2367" t="str">
            <v>58700-31017-00</v>
          </cell>
          <cell r="F2367">
            <v>0</v>
          </cell>
        </row>
        <row r="2368">
          <cell r="A2368" t="str">
            <v>58700-31018-00</v>
          </cell>
          <cell r="F2368">
            <v>0</v>
          </cell>
        </row>
        <row r="2369">
          <cell r="A2369" t="str">
            <v>58700-31019-00</v>
          </cell>
          <cell r="F2369">
            <v>0</v>
          </cell>
        </row>
        <row r="2370">
          <cell r="A2370" t="str">
            <v>58700-31020-00</v>
          </cell>
          <cell r="F2370">
            <v>0</v>
          </cell>
        </row>
        <row r="2371">
          <cell r="A2371" t="str">
            <v>58700-31021-00</v>
          </cell>
          <cell r="F2371">
            <v>0</v>
          </cell>
        </row>
        <row r="2372">
          <cell r="A2372" t="str">
            <v>58700-31022-00</v>
          </cell>
          <cell r="F2372">
            <v>0</v>
          </cell>
        </row>
        <row r="2373">
          <cell r="A2373" t="str">
            <v>58700-31023-00</v>
          </cell>
          <cell r="F2373">
            <v>0</v>
          </cell>
        </row>
        <row r="2374">
          <cell r="A2374" t="str">
            <v>58700-31024-00</v>
          </cell>
          <cell r="F2374">
            <v>0</v>
          </cell>
        </row>
        <row r="2375">
          <cell r="A2375" t="str">
            <v>58700-31025-00</v>
          </cell>
          <cell r="F2375">
            <v>0</v>
          </cell>
        </row>
        <row r="2376">
          <cell r="A2376" t="str">
            <v>58700-31026-00</v>
          </cell>
          <cell r="F2376">
            <v>0</v>
          </cell>
        </row>
        <row r="2377">
          <cell r="A2377" t="str">
            <v>58700-31027-00</v>
          </cell>
          <cell r="F2377">
            <v>0</v>
          </cell>
        </row>
        <row r="2378">
          <cell r="A2378" t="str">
            <v>58700-31028-00</v>
          </cell>
          <cell r="F2378">
            <v>0</v>
          </cell>
        </row>
        <row r="2379">
          <cell r="A2379" t="str">
            <v>58700-31029-00</v>
          </cell>
          <cell r="F2379">
            <v>0</v>
          </cell>
        </row>
        <row r="2380">
          <cell r="A2380" t="str">
            <v>58700-31030-00</v>
          </cell>
          <cell r="F2380">
            <v>0</v>
          </cell>
        </row>
        <row r="2381">
          <cell r="A2381" t="str">
            <v>58700-31031-00</v>
          </cell>
          <cell r="F2381">
            <v>0</v>
          </cell>
        </row>
        <row r="2382">
          <cell r="A2382" t="str">
            <v>58700-31032-00</v>
          </cell>
          <cell r="F2382">
            <v>0</v>
          </cell>
        </row>
        <row r="2383">
          <cell r="A2383" t="str">
            <v>58700-31033-00</v>
          </cell>
          <cell r="F2383">
            <v>0</v>
          </cell>
        </row>
        <row r="2384">
          <cell r="A2384" t="str">
            <v>58700-31034-00</v>
          </cell>
          <cell r="F2384">
            <v>0</v>
          </cell>
        </row>
        <row r="2385">
          <cell r="A2385" t="str">
            <v>58700-31035-00</v>
          </cell>
          <cell r="F2385">
            <v>0</v>
          </cell>
        </row>
        <row r="2386">
          <cell r="A2386" t="str">
            <v>58700-31036-00</v>
          </cell>
          <cell r="F2386">
            <v>0</v>
          </cell>
        </row>
        <row r="2387">
          <cell r="A2387" t="str">
            <v>58700-31037-00</v>
          </cell>
          <cell r="F2387">
            <v>0</v>
          </cell>
        </row>
        <row r="2388">
          <cell r="A2388" t="str">
            <v>58700-31038-00</v>
          </cell>
          <cell r="F2388">
            <v>0</v>
          </cell>
        </row>
        <row r="2389">
          <cell r="A2389" t="str">
            <v>58700-31039-00</v>
          </cell>
          <cell r="F2389">
            <v>0</v>
          </cell>
        </row>
        <row r="2390">
          <cell r="A2390" t="str">
            <v>58700-31040-00</v>
          </cell>
          <cell r="F2390">
            <v>0</v>
          </cell>
        </row>
        <row r="2391">
          <cell r="A2391" t="str">
            <v>58700-31041-00</v>
          </cell>
          <cell r="F2391">
            <v>0</v>
          </cell>
        </row>
        <row r="2392">
          <cell r="A2392" t="str">
            <v>58700-31042-00</v>
          </cell>
          <cell r="F2392">
            <v>0</v>
          </cell>
        </row>
        <row r="2393">
          <cell r="A2393" t="str">
            <v>58700-31043-00</v>
          </cell>
          <cell r="F2393">
            <v>0</v>
          </cell>
        </row>
        <row r="2394">
          <cell r="A2394" t="str">
            <v>58700-31044-00</v>
          </cell>
          <cell r="F2394">
            <v>0</v>
          </cell>
        </row>
        <row r="2395">
          <cell r="A2395" t="str">
            <v>58700-31045-00</v>
          </cell>
          <cell r="F2395">
            <v>0</v>
          </cell>
        </row>
        <row r="2396">
          <cell r="A2396" t="str">
            <v>58700-31046-00</v>
          </cell>
          <cell r="F2396">
            <v>0</v>
          </cell>
        </row>
        <row r="2397">
          <cell r="A2397" t="str">
            <v>58700-31047-00</v>
          </cell>
          <cell r="F2397">
            <v>0</v>
          </cell>
        </row>
        <row r="2398">
          <cell r="A2398" t="str">
            <v>58700-31048-00</v>
          </cell>
          <cell r="F2398">
            <v>0</v>
          </cell>
        </row>
        <row r="2399">
          <cell r="A2399" t="str">
            <v>58700-31049-00</v>
          </cell>
          <cell r="F2399">
            <v>0</v>
          </cell>
        </row>
        <row r="2400">
          <cell r="A2400" t="str">
            <v>58700-31050-00</v>
          </cell>
          <cell r="F2400">
            <v>0</v>
          </cell>
        </row>
        <row r="2401">
          <cell r="A2401" t="str">
            <v>58700-31051-00</v>
          </cell>
          <cell r="F2401">
            <v>0</v>
          </cell>
        </row>
        <row r="2402">
          <cell r="A2402" t="str">
            <v>58700-31053-00</v>
          </cell>
          <cell r="F2402">
            <v>0</v>
          </cell>
        </row>
        <row r="2403">
          <cell r="A2403" t="str">
            <v>58700-31054-00</v>
          </cell>
          <cell r="F2403">
            <v>0</v>
          </cell>
        </row>
        <row r="2404">
          <cell r="A2404" t="str">
            <v>58700-31055-00</v>
          </cell>
          <cell r="F2404">
            <v>0</v>
          </cell>
        </row>
        <row r="2405">
          <cell r="A2405" t="str">
            <v>58700-31056-00</v>
          </cell>
          <cell r="F2405">
            <v>0</v>
          </cell>
        </row>
        <row r="2406">
          <cell r="A2406" t="str">
            <v>58700-31057-00</v>
          </cell>
          <cell r="F2406">
            <v>0</v>
          </cell>
        </row>
        <row r="2407">
          <cell r="A2407" t="str">
            <v>58700-31058-00</v>
          </cell>
          <cell r="F2407">
            <v>0</v>
          </cell>
        </row>
        <row r="2408">
          <cell r="A2408" t="str">
            <v>58700-31059-00</v>
          </cell>
          <cell r="F2408">
            <v>0</v>
          </cell>
        </row>
        <row r="2409">
          <cell r="A2409" t="str">
            <v>58700-31060-00</v>
          </cell>
          <cell r="F2409">
            <v>0</v>
          </cell>
        </row>
        <row r="2410">
          <cell r="A2410" t="str">
            <v>58700-31061-00</v>
          </cell>
          <cell r="F2410">
            <v>0</v>
          </cell>
        </row>
        <row r="2411">
          <cell r="A2411" t="str">
            <v>58700-31062-00</v>
          </cell>
          <cell r="F2411">
            <v>0</v>
          </cell>
        </row>
        <row r="2412">
          <cell r="A2412" t="str">
            <v>58700-31063-00</v>
          </cell>
          <cell r="F2412">
            <v>0</v>
          </cell>
        </row>
        <row r="2413">
          <cell r="A2413" t="str">
            <v>58700-31064-00</v>
          </cell>
          <cell r="F2413">
            <v>0</v>
          </cell>
        </row>
        <row r="2414">
          <cell r="A2414" t="str">
            <v>58700-31065-00</v>
          </cell>
          <cell r="F2414">
            <v>0</v>
          </cell>
        </row>
        <row r="2415">
          <cell r="A2415" t="str">
            <v>58700-31066-00</v>
          </cell>
          <cell r="F2415">
            <v>0</v>
          </cell>
        </row>
        <row r="2416">
          <cell r="A2416" t="str">
            <v>58700-31067-00</v>
          </cell>
          <cell r="F2416">
            <v>0</v>
          </cell>
        </row>
        <row r="2417">
          <cell r="A2417" t="str">
            <v>58700-31068-00</v>
          </cell>
          <cell r="F2417">
            <v>0</v>
          </cell>
        </row>
        <row r="2418">
          <cell r="A2418" t="str">
            <v>58700-31069-00</v>
          </cell>
          <cell r="F2418">
            <v>0</v>
          </cell>
        </row>
        <row r="2419">
          <cell r="A2419" t="str">
            <v>58700-31070-00</v>
          </cell>
          <cell r="F2419">
            <v>0</v>
          </cell>
        </row>
        <row r="2420">
          <cell r="A2420" t="str">
            <v>58700-31071-00</v>
          </cell>
          <cell r="F2420">
            <v>0</v>
          </cell>
        </row>
        <row r="2421">
          <cell r="A2421" t="str">
            <v>58700-31072-00</v>
          </cell>
          <cell r="F2421">
            <v>0</v>
          </cell>
        </row>
        <row r="2422">
          <cell r="A2422" t="str">
            <v>58700-31073-00</v>
          </cell>
          <cell r="F2422">
            <v>0</v>
          </cell>
        </row>
        <row r="2423">
          <cell r="A2423" t="str">
            <v>58700-31074-00</v>
          </cell>
          <cell r="F2423">
            <v>0</v>
          </cell>
        </row>
        <row r="2424">
          <cell r="A2424" t="str">
            <v>58700-31075-00</v>
          </cell>
          <cell r="F2424">
            <v>0</v>
          </cell>
        </row>
        <row r="2425">
          <cell r="A2425" t="str">
            <v>58700-31076-00</v>
          </cell>
          <cell r="F2425">
            <v>0</v>
          </cell>
        </row>
        <row r="2426">
          <cell r="A2426" t="str">
            <v>58700-31077-00</v>
          </cell>
          <cell r="F2426">
            <v>0</v>
          </cell>
        </row>
        <row r="2427">
          <cell r="A2427" t="str">
            <v>58700-31078-00</v>
          </cell>
          <cell r="F2427">
            <v>0</v>
          </cell>
        </row>
        <row r="2428">
          <cell r="A2428" t="str">
            <v>58700-31900-00</v>
          </cell>
          <cell r="F2428">
            <v>0</v>
          </cell>
        </row>
        <row r="2429">
          <cell r="A2429" t="str">
            <v>58700-31910-00</v>
          </cell>
          <cell r="F2429">
            <v>0</v>
          </cell>
        </row>
        <row r="2430">
          <cell r="A2430" t="str">
            <v>58700-41001-00</v>
          </cell>
          <cell r="F2430">
            <v>0</v>
          </cell>
        </row>
        <row r="2431">
          <cell r="A2431" t="str">
            <v>58700-41002-00</v>
          </cell>
          <cell r="F2431">
            <v>0</v>
          </cell>
        </row>
        <row r="2432">
          <cell r="A2432" t="str">
            <v>58700-41003-00</v>
          </cell>
          <cell r="F2432">
            <v>0</v>
          </cell>
        </row>
        <row r="2433">
          <cell r="A2433" t="str">
            <v>58700-41004-00</v>
          </cell>
          <cell r="F2433">
            <v>0</v>
          </cell>
        </row>
        <row r="2434">
          <cell r="A2434" t="str">
            <v>58700-41005-00</v>
          </cell>
          <cell r="F2434">
            <v>0</v>
          </cell>
        </row>
        <row r="2435">
          <cell r="A2435" t="str">
            <v>58700-41009-00</v>
          </cell>
          <cell r="F2435">
            <v>0</v>
          </cell>
        </row>
        <row r="2436">
          <cell r="A2436" t="str">
            <v>58700-41029-00</v>
          </cell>
          <cell r="F2436">
            <v>0</v>
          </cell>
        </row>
        <row r="2437">
          <cell r="A2437" t="str">
            <v>58700-41030-00</v>
          </cell>
          <cell r="F2437">
            <v>0</v>
          </cell>
        </row>
        <row r="2438">
          <cell r="A2438" t="str">
            <v>58700-41031-00</v>
          </cell>
          <cell r="F2438">
            <v>0</v>
          </cell>
        </row>
        <row r="2439">
          <cell r="A2439" t="str">
            <v>58700-41032-00</v>
          </cell>
          <cell r="F2439">
            <v>0</v>
          </cell>
        </row>
        <row r="2440">
          <cell r="A2440" t="str">
            <v>58700-41041-00</v>
          </cell>
          <cell r="F2440">
            <v>0</v>
          </cell>
        </row>
        <row r="2441">
          <cell r="A2441" t="str">
            <v>58700-41049-00</v>
          </cell>
          <cell r="F2441">
            <v>0</v>
          </cell>
        </row>
        <row r="2442">
          <cell r="A2442" t="str">
            <v>58700-41052-00</v>
          </cell>
          <cell r="F2442">
            <v>0</v>
          </cell>
        </row>
        <row r="2443">
          <cell r="A2443" t="str">
            <v>58700-43001-00</v>
          </cell>
          <cell r="F2443">
            <v>0</v>
          </cell>
        </row>
        <row r="2444">
          <cell r="A2444" t="str">
            <v>58700-43002-00</v>
          </cell>
          <cell r="F2444">
            <v>0</v>
          </cell>
        </row>
        <row r="2445">
          <cell r="A2445" t="str">
            <v>58700-43003-00</v>
          </cell>
          <cell r="F2445">
            <v>0</v>
          </cell>
        </row>
        <row r="2446">
          <cell r="A2446" t="str">
            <v>58700-43005-00</v>
          </cell>
          <cell r="F2446">
            <v>36555.83</v>
          </cell>
        </row>
        <row r="2447">
          <cell r="A2447" t="str">
            <v>58700-43009-00</v>
          </cell>
          <cell r="F2447">
            <v>-15.56</v>
          </cell>
        </row>
        <row r="2448">
          <cell r="A2448" t="str">
            <v>58700-43029-00</v>
          </cell>
          <cell r="F2448">
            <v>0</v>
          </cell>
        </row>
        <row r="2449">
          <cell r="A2449" t="str">
            <v>58700-43030-00</v>
          </cell>
          <cell r="F2449">
            <v>0</v>
          </cell>
        </row>
        <row r="2450">
          <cell r="A2450" t="str">
            <v>58700-43031-00</v>
          </cell>
          <cell r="F2450">
            <v>0</v>
          </cell>
        </row>
        <row r="2451">
          <cell r="A2451" t="str">
            <v>58700-43032-00</v>
          </cell>
          <cell r="F2451">
            <v>0</v>
          </cell>
        </row>
        <row r="2452">
          <cell r="A2452" t="str">
            <v>58700-43041-00</v>
          </cell>
          <cell r="F2452">
            <v>0</v>
          </cell>
        </row>
        <row r="2453">
          <cell r="A2453" t="str">
            <v>58700-43052-00</v>
          </cell>
          <cell r="F2453">
            <v>0</v>
          </cell>
        </row>
        <row r="2454">
          <cell r="A2454" t="str">
            <v>58700-45001-00</v>
          </cell>
          <cell r="F2454">
            <v>0</v>
          </cell>
        </row>
        <row r="2455">
          <cell r="A2455" t="str">
            <v>58700-45002-00</v>
          </cell>
          <cell r="F2455">
            <v>0</v>
          </cell>
        </row>
        <row r="2456">
          <cell r="A2456" t="str">
            <v>58700-45003-00</v>
          </cell>
          <cell r="F2456">
            <v>0</v>
          </cell>
        </row>
        <row r="2457">
          <cell r="A2457" t="str">
            <v>58700-45005-00</v>
          </cell>
          <cell r="F2457">
            <v>0</v>
          </cell>
        </row>
        <row r="2458">
          <cell r="A2458" t="str">
            <v>58700-45009-00</v>
          </cell>
          <cell r="F2458">
            <v>0</v>
          </cell>
        </row>
        <row r="2459">
          <cell r="A2459" t="str">
            <v>58700-45029-00</v>
          </cell>
          <cell r="F2459">
            <v>0</v>
          </cell>
        </row>
        <row r="2460">
          <cell r="A2460" t="str">
            <v>58700-45030-00</v>
          </cell>
          <cell r="F2460">
            <v>0</v>
          </cell>
        </row>
        <row r="2461">
          <cell r="A2461" t="str">
            <v>58700-45031-00</v>
          </cell>
          <cell r="F2461">
            <v>0</v>
          </cell>
        </row>
        <row r="2462">
          <cell r="A2462" t="str">
            <v>58700-45032-00</v>
          </cell>
          <cell r="F2462">
            <v>0</v>
          </cell>
        </row>
        <row r="2463">
          <cell r="A2463" t="str">
            <v>58700-45052-00</v>
          </cell>
          <cell r="F2463">
            <v>0</v>
          </cell>
        </row>
        <row r="2464">
          <cell r="A2464" t="str">
            <v>58700-61030-00</v>
          </cell>
          <cell r="F2464">
            <v>0</v>
          </cell>
        </row>
        <row r="2465">
          <cell r="A2465" t="str">
            <v>58700-61031-00</v>
          </cell>
          <cell r="F2465">
            <v>0</v>
          </cell>
        </row>
        <row r="2466">
          <cell r="A2466" t="str">
            <v>58700-62030-00</v>
          </cell>
          <cell r="F2466">
            <v>0</v>
          </cell>
        </row>
        <row r="2467">
          <cell r="A2467" t="str">
            <v>58700-62032-00</v>
          </cell>
          <cell r="F2467">
            <v>0</v>
          </cell>
        </row>
        <row r="2468">
          <cell r="A2468" t="str">
            <v>58700-63030-00</v>
          </cell>
          <cell r="F2468">
            <v>930</v>
          </cell>
        </row>
        <row r="2469">
          <cell r="A2469" t="str">
            <v>58700-63032-00</v>
          </cell>
          <cell r="F2469">
            <v>0</v>
          </cell>
        </row>
        <row r="2470">
          <cell r="A2470" t="str">
            <v>58700-64032-00</v>
          </cell>
          <cell r="F2470">
            <v>0</v>
          </cell>
        </row>
        <row r="2471">
          <cell r="A2471" t="str">
            <v>58800-00000-00</v>
          </cell>
          <cell r="F2471">
            <v>0</v>
          </cell>
        </row>
        <row r="2472">
          <cell r="A2472" t="str">
            <v>58800-11001-00</v>
          </cell>
          <cell r="F2472">
            <v>304288.83</v>
          </cell>
        </row>
        <row r="2473">
          <cell r="A2473" t="str">
            <v>58800-11005-00</v>
          </cell>
          <cell r="F2473">
            <v>0</v>
          </cell>
        </row>
        <row r="2474">
          <cell r="A2474" t="str">
            <v>58800-15001-00</v>
          </cell>
          <cell r="F2474">
            <v>0</v>
          </cell>
        </row>
        <row r="2475">
          <cell r="A2475" t="str">
            <v>58800-15005-00</v>
          </cell>
          <cell r="F2475">
            <v>0</v>
          </cell>
        </row>
        <row r="2476">
          <cell r="A2476" t="str">
            <v>58800-41005-00</v>
          </cell>
          <cell r="F2476">
            <v>4115.05</v>
          </cell>
        </row>
        <row r="2477">
          <cell r="A2477" t="str">
            <v>58800-45002-00</v>
          </cell>
          <cell r="F2477">
            <v>0</v>
          </cell>
        </row>
        <row r="2478">
          <cell r="A2478" t="str">
            <v>58800-45052-00</v>
          </cell>
          <cell r="F2478">
            <v>33217.35</v>
          </cell>
        </row>
        <row r="2479">
          <cell r="A2479" t="str">
            <v>58850-11001-00</v>
          </cell>
          <cell r="F2479">
            <v>0</v>
          </cell>
        </row>
        <row r="2480">
          <cell r="A2480" t="str">
            <v>58850-11005-00</v>
          </cell>
          <cell r="F2480">
            <v>0</v>
          </cell>
        </row>
        <row r="2481">
          <cell r="A2481" t="str">
            <v>58850-15001-00</v>
          </cell>
          <cell r="F2481">
            <v>0</v>
          </cell>
        </row>
        <row r="2482">
          <cell r="A2482" t="str">
            <v>58850-15005-00</v>
          </cell>
          <cell r="F2482">
            <v>0</v>
          </cell>
        </row>
        <row r="2483">
          <cell r="A2483" t="str">
            <v>58850-31001-00</v>
          </cell>
          <cell r="F2483">
            <v>0</v>
          </cell>
        </row>
        <row r="2484">
          <cell r="A2484" t="str">
            <v>58850-43002-00</v>
          </cell>
          <cell r="F2484">
            <v>0</v>
          </cell>
        </row>
        <row r="2485">
          <cell r="A2485" t="str">
            <v>58850-45001-00</v>
          </cell>
          <cell r="F2485">
            <v>-29918.19</v>
          </cell>
        </row>
        <row r="2486">
          <cell r="A2486" t="str">
            <v>58850-45002-00</v>
          </cell>
          <cell r="F2486">
            <v>-252760.38</v>
          </cell>
        </row>
        <row r="2487">
          <cell r="A2487" t="str">
            <v>58850-45005-00</v>
          </cell>
          <cell r="F2487">
            <v>-8218.68</v>
          </cell>
        </row>
        <row r="2488">
          <cell r="A2488" t="str">
            <v>58850-45009-00</v>
          </cell>
          <cell r="F2488">
            <v>0</v>
          </cell>
        </row>
        <row r="2489">
          <cell r="A2489" t="str">
            <v>58850-45029-00</v>
          </cell>
          <cell r="F2489">
            <v>-46477.47</v>
          </cell>
        </row>
        <row r="2490">
          <cell r="A2490" t="str">
            <v>58850-45030-00</v>
          </cell>
          <cell r="F2490">
            <v>0</v>
          </cell>
        </row>
        <row r="2491">
          <cell r="A2491" t="str">
            <v>58850-45031-00</v>
          </cell>
          <cell r="F2491">
            <v>0</v>
          </cell>
        </row>
        <row r="2492">
          <cell r="A2492" t="str">
            <v>58850-45032-00</v>
          </cell>
          <cell r="F2492">
            <v>0</v>
          </cell>
        </row>
        <row r="2493">
          <cell r="A2493" t="str">
            <v>58850-45052-00</v>
          </cell>
          <cell r="F2493">
            <v>0</v>
          </cell>
        </row>
        <row r="2494">
          <cell r="A2494" t="str">
            <v>58850-61030-00</v>
          </cell>
          <cell r="F2494">
            <v>0</v>
          </cell>
        </row>
        <row r="2495">
          <cell r="A2495" t="str">
            <v>58850-61031-00</v>
          </cell>
          <cell r="F2495">
            <v>-11225.52</v>
          </cell>
        </row>
        <row r="2496">
          <cell r="A2496" t="str">
            <v>58850-62030-00</v>
          </cell>
          <cell r="F2496">
            <v>-348469.97</v>
          </cell>
        </row>
        <row r="2497">
          <cell r="A2497" t="str">
            <v>58850-62032-00</v>
          </cell>
          <cell r="F2497">
            <v>0</v>
          </cell>
        </row>
        <row r="2498">
          <cell r="A2498" t="str">
            <v>58850-63030-00</v>
          </cell>
          <cell r="F2498">
            <v>0</v>
          </cell>
        </row>
        <row r="2499">
          <cell r="A2499" t="str">
            <v>58850-63032-00</v>
          </cell>
          <cell r="F2499">
            <v>0</v>
          </cell>
        </row>
        <row r="2500">
          <cell r="A2500" t="str">
            <v>58850-64032-00</v>
          </cell>
          <cell r="F2500">
            <v>0</v>
          </cell>
        </row>
        <row r="2501">
          <cell r="A2501" t="str">
            <v>58900-00000-00</v>
          </cell>
          <cell r="F2501">
            <v>0</v>
          </cell>
        </row>
        <row r="2502">
          <cell r="A2502" t="str">
            <v>58900-15001-00</v>
          </cell>
          <cell r="F2502">
            <v>163877.87</v>
          </cell>
        </row>
        <row r="2503">
          <cell r="A2503" t="str">
            <v>58900-31010-00</v>
          </cell>
          <cell r="F2503">
            <v>0</v>
          </cell>
        </row>
        <row r="2504">
          <cell r="A2504" t="str">
            <v>58900-31011-00</v>
          </cell>
          <cell r="F2504">
            <v>0</v>
          </cell>
        </row>
        <row r="2505">
          <cell r="A2505" t="str">
            <v>58900-31012-00</v>
          </cell>
          <cell r="F2505">
            <v>0</v>
          </cell>
        </row>
        <row r="2506">
          <cell r="A2506" t="str">
            <v>58900-31013-00</v>
          </cell>
          <cell r="F2506">
            <v>0</v>
          </cell>
        </row>
        <row r="2507">
          <cell r="A2507" t="str">
            <v>58900-31014-00</v>
          </cell>
          <cell r="F2507">
            <v>0</v>
          </cell>
        </row>
        <row r="2508">
          <cell r="A2508" t="str">
            <v>58900-31015-00</v>
          </cell>
          <cell r="F2508">
            <v>0</v>
          </cell>
        </row>
        <row r="2509">
          <cell r="A2509" t="str">
            <v>58900-31016-00</v>
          </cell>
          <cell r="F2509">
            <v>0</v>
          </cell>
        </row>
        <row r="2510">
          <cell r="A2510" t="str">
            <v>58900-31017-00</v>
          </cell>
          <cell r="F2510">
            <v>0</v>
          </cell>
        </row>
        <row r="2511">
          <cell r="A2511" t="str">
            <v>58900-31018-00</v>
          </cell>
          <cell r="F2511">
            <v>0</v>
          </cell>
        </row>
        <row r="2512">
          <cell r="A2512" t="str">
            <v>58900-31019-00</v>
          </cell>
          <cell r="F2512">
            <v>0</v>
          </cell>
        </row>
        <row r="2513">
          <cell r="A2513" t="str">
            <v>58900-31020-00</v>
          </cell>
          <cell r="F2513">
            <v>0</v>
          </cell>
        </row>
        <row r="2514">
          <cell r="A2514" t="str">
            <v>58900-31021-00</v>
          </cell>
          <cell r="F2514">
            <v>2612.4499999999998</v>
          </cell>
        </row>
        <row r="2515">
          <cell r="A2515" t="str">
            <v>58900-31022-00</v>
          </cell>
          <cell r="F2515">
            <v>0</v>
          </cell>
        </row>
        <row r="2516">
          <cell r="A2516" t="str">
            <v>58900-31023-00</v>
          </cell>
          <cell r="F2516">
            <v>0</v>
          </cell>
        </row>
        <row r="2517">
          <cell r="A2517" t="str">
            <v>58900-31024-00</v>
          </cell>
          <cell r="F2517">
            <v>0</v>
          </cell>
        </row>
        <row r="2518">
          <cell r="A2518" t="str">
            <v>58900-31025-00</v>
          </cell>
          <cell r="F2518">
            <v>0</v>
          </cell>
        </row>
        <row r="2519">
          <cell r="A2519" t="str">
            <v>58900-31026-00</v>
          </cell>
          <cell r="F2519">
            <v>0</v>
          </cell>
        </row>
        <row r="2520">
          <cell r="A2520" t="str">
            <v>58900-31027-00</v>
          </cell>
          <cell r="F2520">
            <v>0</v>
          </cell>
        </row>
        <row r="2521">
          <cell r="A2521" t="str">
            <v>58900-31028-00</v>
          </cell>
          <cell r="F2521">
            <v>0</v>
          </cell>
        </row>
        <row r="2522">
          <cell r="A2522" t="str">
            <v>58900-31029-00</v>
          </cell>
          <cell r="F2522">
            <v>0</v>
          </cell>
        </row>
        <row r="2523">
          <cell r="A2523" t="str">
            <v>58900-31030-00</v>
          </cell>
          <cell r="F2523">
            <v>0</v>
          </cell>
        </row>
        <row r="2524">
          <cell r="A2524" t="str">
            <v>58900-31031-00</v>
          </cell>
          <cell r="F2524">
            <v>0</v>
          </cell>
        </row>
        <row r="2525">
          <cell r="A2525" t="str">
            <v>58900-31032-00</v>
          </cell>
          <cell r="F2525">
            <v>0</v>
          </cell>
        </row>
        <row r="2526">
          <cell r="A2526" t="str">
            <v>58900-31033-00</v>
          </cell>
          <cell r="F2526">
            <v>0</v>
          </cell>
        </row>
        <row r="2527">
          <cell r="A2527" t="str">
            <v>58900-31034-00</v>
          </cell>
          <cell r="F2527">
            <v>0</v>
          </cell>
        </row>
        <row r="2528">
          <cell r="A2528" t="str">
            <v>58900-31035-00</v>
          </cell>
          <cell r="F2528">
            <v>0</v>
          </cell>
        </row>
        <row r="2529">
          <cell r="A2529" t="str">
            <v>58900-31036-00</v>
          </cell>
          <cell r="F2529">
            <v>0</v>
          </cell>
        </row>
        <row r="2530">
          <cell r="A2530" t="str">
            <v>58900-31037-00</v>
          </cell>
          <cell r="F2530">
            <v>0</v>
          </cell>
        </row>
        <row r="2531">
          <cell r="A2531" t="str">
            <v>58900-31038-00</v>
          </cell>
          <cell r="F2531">
            <v>42649.120000000003</v>
          </cell>
        </row>
        <row r="2532">
          <cell r="A2532" t="str">
            <v>58900-31039-00</v>
          </cell>
          <cell r="F2532">
            <v>9302.93</v>
          </cell>
        </row>
        <row r="2533">
          <cell r="A2533" t="str">
            <v>58900-31040-00</v>
          </cell>
          <cell r="F2533">
            <v>2731.67</v>
          </cell>
        </row>
        <row r="2534">
          <cell r="A2534" t="str">
            <v>58900-31041-00</v>
          </cell>
          <cell r="F2534">
            <v>0</v>
          </cell>
        </row>
        <row r="2535">
          <cell r="A2535" t="str">
            <v>58900-31042-00</v>
          </cell>
          <cell r="F2535">
            <v>7247.96</v>
          </cell>
        </row>
        <row r="2536">
          <cell r="A2536" t="str">
            <v>58900-31043-00</v>
          </cell>
          <cell r="F2536">
            <v>0</v>
          </cell>
        </row>
        <row r="2537">
          <cell r="A2537" t="str">
            <v>58900-31044-00</v>
          </cell>
          <cell r="F2537">
            <v>0</v>
          </cell>
        </row>
        <row r="2538">
          <cell r="A2538" t="str">
            <v>58900-31045-00</v>
          </cell>
          <cell r="F2538">
            <v>0</v>
          </cell>
        </row>
        <row r="2539">
          <cell r="A2539" t="str">
            <v>58900-31046-00</v>
          </cell>
          <cell r="F2539">
            <v>0</v>
          </cell>
        </row>
        <row r="2540">
          <cell r="A2540" t="str">
            <v>58900-31047-00</v>
          </cell>
          <cell r="F2540">
            <v>0</v>
          </cell>
        </row>
        <row r="2541">
          <cell r="A2541" t="str">
            <v>58900-31048-00</v>
          </cell>
          <cell r="F2541">
            <v>0</v>
          </cell>
        </row>
        <row r="2542">
          <cell r="A2542" t="str">
            <v>58900-31049-00</v>
          </cell>
          <cell r="F2542">
            <v>0</v>
          </cell>
        </row>
        <row r="2543">
          <cell r="A2543" t="str">
            <v>58900-31050-00</v>
          </cell>
          <cell r="F2543">
            <v>0</v>
          </cell>
        </row>
        <row r="2544">
          <cell r="A2544" t="str">
            <v>58900-31051-00</v>
          </cell>
          <cell r="F2544">
            <v>0</v>
          </cell>
        </row>
        <row r="2545">
          <cell r="A2545" t="str">
            <v>58900-31053-00</v>
          </cell>
          <cell r="F2545">
            <v>0</v>
          </cell>
        </row>
        <row r="2546">
          <cell r="A2546" t="str">
            <v>58900-31054-00</v>
          </cell>
          <cell r="F2546">
            <v>62940.480000000003</v>
          </cell>
        </row>
        <row r="2547">
          <cell r="A2547" t="str">
            <v>58900-31055-00</v>
          </cell>
          <cell r="F2547">
            <v>0</v>
          </cell>
        </row>
        <row r="2548">
          <cell r="A2548" t="str">
            <v>58900-31056-00</v>
          </cell>
          <cell r="F2548">
            <v>0</v>
          </cell>
        </row>
        <row r="2549">
          <cell r="A2549" t="str">
            <v>58900-31057-00</v>
          </cell>
          <cell r="F2549">
            <v>0</v>
          </cell>
        </row>
        <row r="2550">
          <cell r="A2550" t="str">
            <v>58900-31058-00</v>
          </cell>
          <cell r="F2550">
            <v>0</v>
          </cell>
        </row>
        <row r="2551">
          <cell r="A2551" t="str">
            <v>58900-31059-00</v>
          </cell>
          <cell r="F2551">
            <v>0</v>
          </cell>
        </row>
        <row r="2552">
          <cell r="A2552" t="str">
            <v>58900-31060-00</v>
          </cell>
          <cell r="F2552">
            <v>0</v>
          </cell>
        </row>
        <row r="2553">
          <cell r="A2553" t="str">
            <v>58900-31061-00</v>
          </cell>
          <cell r="F2553">
            <v>0</v>
          </cell>
        </row>
        <row r="2554">
          <cell r="A2554" t="str">
            <v>58900-31062-00</v>
          </cell>
          <cell r="F2554">
            <v>0</v>
          </cell>
        </row>
        <row r="2555">
          <cell r="A2555" t="str">
            <v>58900-31063-00</v>
          </cell>
          <cell r="F2555">
            <v>0</v>
          </cell>
        </row>
        <row r="2556">
          <cell r="A2556" t="str">
            <v>58900-31064-00</v>
          </cell>
          <cell r="F2556">
            <v>0</v>
          </cell>
        </row>
        <row r="2557">
          <cell r="A2557" t="str">
            <v>58900-31065-00</v>
          </cell>
          <cell r="F2557">
            <v>0</v>
          </cell>
        </row>
        <row r="2558">
          <cell r="A2558" t="str">
            <v>58900-31066-00</v>
          </cell>
          <cell r="F2558">
            <v>0</v>
          </cell>
        </row>
        <row r="2559">
          <cell r="A2559" t="str">
            <v>58900-31067-00</v>
          </cell>
          <cell r="F2559">
            <v>0</v>
          </cell>
        </row>
        <row r="2560">
          <cell r="A2560" t="str">
            <v>58900-31068-00</v>
          </cell>
          <cell r="F2560">
            <v>0</v>
          </cell>
        </row>
        <row r="2561">
          <cell r="A2561" t="str">
            <v>58900-31069-00</v>
          </cell>
          <cell r="F2561">
            <v>0</v>
          </cell>
        </row>
        <row r="2562">
          <cell r="A2562" t="str">
            <v>58900-31070-00</v>
          </cell>
          <cell r="F2562">
            <v>0</v>
          </cell>
        </row>
        <row r="2563">
          <cell r="A2563" t="str">
            <v>58900-31071-00</v>
          </cell>
          <cell r="F2563">
            <v>0</v>
          </cell>
        </row>
        <row r="2564">
          <cell r="A2564" t="str">
            <v>58900-31072-00</v>
          </cell>
          <cell r="F2564">
            <v>0</v>
          </cell>
        </row>
        <row r="2565">
          <cell r="A2565" t="str">
            <v>58900-31073-00</v>
          </cell>
          <cell r="F2565">
            <v>0</v>
          </cell>
        </row>
        <row r="2566">
          <cell r="A2566" t="str">
            <v>58900-31074-00</v>
          </cell>
          <cell r="F2566">
            <v>0</v>
          </cell>
        </row>
        <row r="2567">
          <cell r="A2567" t="str">
            <v>58900-31075-00</v>
          </cell>
          <cell r="F2567">
            <v>0</v>
          </cell>
        </row>
        <row r="2568">
          <cell r="A2568" t="str">
            <v>58900-31076-00</v>
          </cell>
          <cell r="F2568">
            <v>0</v>
          </cell>
        </row>
        <row r="2569">
          <cell r="A2569" t="str">
            <v>58900-31077-00</v>
          </cell>
          <cell r="F2569">
            <v>0</v>
          </cell>
        </row>
        <row r="2570">
          <cell r="A2570" t="str">
            <v>58900-31078-00</v>
          </cell>
          <cell r="F2570">
            <v>0</v>
          </cell>
        </row>
        <row r="2571">
          <cell r="A2571" t="str">
            <v>58900-31900-00</v>
          </cell>
          <cell r="F2571">
            <v>0</v>
          </cell>
        </row>
        <row r="2572">
          <cell r="A2572" t="str">
            <v>58900-31910-00</v>
          </cell>
          <cell r="F2572">
            <v>0</v>
          </cell>
        </row>
        <row r="2573">
          <cell r="A2573" t="str">
            <v>58900-43001-00</v>
          </cell>
          <cell r="F2573">
            <v>0</v>
          </cell>
        </row>
        <row r="2574">
          <cell r="A2574" t="str">
            <v>58900-43002-00</v>
          </cell>
          <cell r="F2574">
            <v>0</v>
          </cell>
        </row>
        <row r="2575">
          <cell r="A2575" t="str">
            <v>58900-43003-00</v>
          </cell>
          <cell r="F2575">
            <v>0</v>
          </cell>
        </row>
        <row r="2576">
          <cell r="A2576" t="str">
            <v>58900-43005-00</v>
          </cell>
          <cell r="F2576">
            <v>0</v>
          </cell>
        </row>
        <row r="2577">
          <cell r="A2577" t="str">
            <v>58900-43009-00</v>
          </cell>
          <cell r="F2577">
            <v>0</v>
          </cell>
        </row>
        <row r="2578">
          <cell r="A2578" t="str">
            <v>58900-43029-00</v>
          </cell>
          <cell r="F2578">
            <v>0</v>
          </cell>
        </row>
        <row r="2579">
          <cell r="A2579" t="str">
            <v>58900-43030-00</v>
          </cell>
          <cell r="F2579">
            <v>0</v>
          </cell>
        </row>
        <row r="2580">
          <cell r="A2580" t="str">
            <v>58900-43031-00</v>
          </cell>
          <cell r="F2580">
            <v>0</v>
          </cell>
        </row>
        <row r="2581">
          <cell r="A2581" t="str">
            <v>58900-43032-00</v>
          </cell>
          <cell r="F2581">
            <v>0</v>
          </cell>
        </row>
        <row r="2582">
          <cell r="A2582" t="str">
            <v>58900-43041-00</v>
          </cell>
          <cell r="F2582">
            <v>0</v>
          </cell>
        </row>
        <row r="2583">
          <cell r="A2583" t="str">
            <v>58900-43052-00</v>
          </cell>
          <cell r="F2583">
            <v>0</v>
          </cell>
        </row>
        <row r="2584">
          <cell r="A2584" t="str">
            <v>58950-11001-00</v>
          </cell>
          <cell r="F2584">
            <v>0</v>
          </cell>
        </row>
        <row r="2585">
          <cell r="F2585">
            <v>690956561.27999997</v>
          </cell>
        </row>
        <row r="2586">
          <cell r="A2586" t="str">
            <v>Operating Expenses</v>
          </cell>
        </row>
        <row r="2587">
          <cell r="A2587" t="str">
            <v>60100-00000-00</v>
          </cell>
          <cell r="F2587">
            <v>0</v>
          </cell>
        </row>
        <row r="2588">
          <cell r="A2588" t="str">
            <v>60100-11001-00</v>
          </cell>
          <cell r="F2588">
            <v>738097.06</v>
          </cell>
        </row>
        <row r="2589">
          <cell r="A2589" t="str">
            <v>60100-11005-00</v>
          </cell>
          <cell r="F2589">
            <v>0</v>
          </cell>
        </row>
        <row r="2590">
          <cell r="A2590" t="str">
            <v>60100-13006-00</v>
          </cell>
          <cell r="F2590">
            <v>0</v>
          </cell>
        </row>
        <row r="2591">
          <cell r="A2591" t="str">
            <v>60100-13007-00</v>
          </cell>
          <cell r="F2591">
            <v>0</v>
          </cell>
        </row>
        <row r="2592">
          <cell r="A2592" t="str">
            <v>60100-14001-00</v>
          </cell>
          <cell r="F2592">
            <v>186841.64</v>
          </cell>
        </row>
        <row r="2593">
          <cell r="A2593" t="str">
            <v>60100-15001-00</v>
          </cell>
          <cell r="F2593">
            <v>494081.01</v>
          </cell>
        </row>
        <row r="2594">
          <cell r="A2594" t="str">
            <v>60100-15005-00</v>
          </cell>
          <cell r="F2594">
            <v>0</v>
          </cell>
        </row>
        <row r="2595">
          <cell r="A2595" t="str">
            <v>60100-31000-00</v>
          </cell>
          <cell r="F2595">
            <v>0</v>
          </cell>
        </row>
        <row r="2596">
          <cell r="A2596" t="str">
            <v>60100-31001-00</v>
          </cell>
          <cell r="F2596">
            <v>226159.91</v>
          </cell>
        </row>
        <row r="2597">
          <cell r="A2597" t="str">
            <v>60100-41001-00</v>
          </cell>
          <cell r="F2597">
            <v>1035885.15</v>
          </cell>
        </row>
        <row r="2598">
          <cell r="A2598" t="str">
            <v>60100-41002-00</v>
          </cell>
          <cell r="F2598">
            <v>394709.25</v>
          </cell>
        </row>
        <row r="2599">
          <cell r="A2599" t="str">
            <v>60100-41003-00</v>
          </cell>
          <cell r="F2599">
            <v>613528.53</v>
          </cell>
        </row>
        <row r="2600">
          <cell r="A2600" t="str">
            <v>60100-41004-00</v>
          </cell>
          <cell r="F2600">
            <v>287595.51</v>
          </cell>
        </row>
        <row r="2601">
          <cell r="A2601" t="str">
            <v>60100-41005-00</v>
          </cell>
          <cell r="F2601">
            <v>242751.58</v>
          </cell>
        </row>
        <row r="2602">
          <cell r="A2602" t="str">
            <v>60100-41009-00</v>
          </cell>
          <cell r="F2602">
            <v>160000.53</v>
          </cell>
        </row>
        <row r="2603">
          <cell r="A2603" t="str">
            <v>60100-41029-00</v>
          </cell>
          <cell r="F2603">
            <v>127094.11</v>
          </cell>
        </row>
        <row r="2604">
          <cell r="A2604" t="str">
            <v>60100-41030-00</v>
          </cell>
          <cell r="F2604">
            <v>272239.8</v>
          </cell>
        </row>
        <row r="2605">
          <cell r="A2605" t="str">
            <v>60100-41031-00</v>
          </cell>
          <cell r="F2605">
            <v>108099.79</v>
          </cell>
        </row>
        <row r="2606">
          <cell r="A2606" t="str">
            <v>60100-41032-00</v>
          </cell>
          <cell r="F2606">
            <v>84674.57</v>
          </cell>
        </row>
        <row r="2607">
          <cell r="A2607" t="str">
            <v>60100-41041-00</v>
          </cell>
          <cell r="F2607">
            <v>11522.18</v>
          </cell>
        </row>
        <row r="2608">
          <cell r="A2608" t="str">
            <v>60100-41049-00</v>
          </cell>
          <cell r="F2608">
            <v>25894.48</v>
          </cell>
        </row>
        <row r="2609">
          <cell r="A2609" t="str">
            <v>60100-41052-00</v>
          </cell>
          <cell r="F2609">
            <v>0</v>
          </cell>
        </row>
        <row r="2610">
          <cell r="A2610" t="str">
            <v>60100-43001-00</v>
          </cell>
          <cell r="F2610">
            <v>79014.960000000006</v>
          </cell>
        </row>
        <row r="2611">
          <cell r="A2611" t="str">
            <v>60100-43002-00</v>
          </cell>
          <cell r="F2611">
            <v>91739.56</v>
          </cell>
        </row>
        <row r="2612">
          <cell r="A2612" t="str">
            <v>60100-43003-00</v>
          </cell>
          <cell r="F2612">
            <v>90073.4</v>
          </cell>
        </row>
        <row r="2613">
          <cell r="A2613" t="str">
            <v>60100-43005-00</v>
          </cell>
          <cell r="F2613">
            <v>70097.710000000006</v>
          </cell>
        </row>
        <row r="2614">
          <cell r="A2614" t="str">
            <v>60100-43009-00</v>
          </cell>
          <cell r="F2614">
            <v>102574.76</v>
          </cell>
        </row>
        <row r="2615">
          <cell r="A2615" t="str">
            <v>60100-43029-00</v>
          </cell>
          <cell r="F2615">
            <v>133002.07</v>
          </cell>
        </row>
        <row r="2616">
          <cell r="A2616" t="str">
            <v>60100-43030-00</v>
          </cell>
          <cell r="F2616">
            <v>298812.48</v>
          </cell>
        </row>
        <row r="2617">
          <cell r="A2617" t="str">
            <v>60100-43031-00</v>
          </cell>
          <cell r="F2617">
            <v>84170.51</v>
          </cell>
        </row>
        <row r="2618">
          <cell r="A2618" t="str">
            <v>60100-43032-00</v>
          </cell>
          <cell r="F2618">
            <v>38748.800000000003</v>
          </cell>
        </row>
        <row r="2619">
          <cell r="A2619" t="str">
            <v>60100-43041-00</v>
          </cell>
          <cell r="F2619">
            <v>142154.6</v>
          </cell>
        </row>
        <row r="2620">
          <cell r="A2620" t="str">
            <v>60100-43052-00</v>
          </cell>
          <cell r="F2620">
            <v>0</v>
          </cell>
        </row>
        <row r="2621">
          <cell r="A2621" t="str">
            <v>60100-45001-00</v>
          </cell>
          <cell r="F2621">
            <v>284231.99</v>
          </cell>
        </row>
        <row r="2622">
          <cell r="A2622" t="str">
            <v>60100-45002-00</v>
          </cell>
          <cell r="F2622">
            <v>613717.03</v>
          </cell>
        </row>
        <row r="2623">
          <cell r="A2623" t="str">
            <v>60100-45003-00</v>
          </cell>
          <cell r="F2623">
            <v>0</v>
          </cell>
        </row>
        <row r="2624">
          <cell r="A2624" t="str">
            <v>60100-45005-00</v>
          </cell>
          <cell r="F2624">
            <v>206181.52</v>
          </cell>
        </row>
        <row r="2625">
          <cell r="A2625" t="str">
            <v>60100-45009-00</v>
          </cell>
          <cell r="F2625">
            <v>0</v>
          </cell>
        </row>
        <row r="2626">
          <cell r="A2626" t="str">
            <v>60100-45029-00</v>
          </cell>
          <cell r="F2626">
            <v>82457.45</v>
          </cell>
        </row>
        <row r="2627">
          <cell r="A2627" t="str">
            <v>60100-45030-00</v>
          </cell>
          <cell r="F2627">
            <v>68120.22</v>
          </cell>
        </row>
        <row r="2628">
          <cell r="A2628" t="str">
            <v>60100-45031-00</v>
          </cell>
          <cell r="F2628">
            <v>0</v>
          </cell>
        </row>
        <row r="2629">
          <cell r="A2629" t="str">
            <v>60100-45032-00</v>
          </cell>
          <cell r="F2629">
            <v>28781.72</v>
          </cell>
        </row>
        <row r="2630">
          <cell r="A2630" t="str">
            <v>60100-45052-00</v>
          </cell>
          <cell r="F2630">
            <v>0</v>
          </cell>
        </row>
        <row r="2631">
          <cell r="A2631" t="str">
            <v>60100-51001-00</v>
          </cell>
          <cell r="F2631">
            <v>631274.75</v>
          </cell>
        </row>
        <row r="2632">
          <cell r="A2632" t="str">
            <v>60100-51005-00</v>
          </cell>
          <cell r="F2632">
            <v>0</v>
          </cell>
        </row>
        <row r="2633">
          <cell r="A2633" t="str">
            <v>60100-53001-00</v>
          </cell>
          <cell r="F2633">
            <v>0</v>
          </cell>
        </row>
        <row r="2634">
          <cell r="A2634" t="str">
            <v>60100-61030-00</v>
          </cell>
          <cell r="F2634">
            <v>0</v>
          </cell>
        </row>
        <row r="2635">
          <cell r="A2635" t="str">
            <v>60100-61031-00</v>
          </cell>
          <cell r="F2635">
            <v>167803.3</v>
          </cell>
        </row>
        <row r="2636">
          <cell r="A2636" t="str">
            <v>60100-62030-00</v>
          </cell>
          <cell r="F2636">
            <v>197540.98</v>
          </cell>
        </row>
        <row r="2637">
          <cell r="A2637" t="str">
            <v>60100-62032-00</v>
          </cell>
          <cell r="F2637">
            <v>0</v>
          </cell>
        </row>
        <row r="2638">
          <cell r="A2638" t="str">
            <v>60100-63030-00</v>
          </cell>
          <cell r="F2638">
            <v>175311.09</v>
          </cell>
        </row>
        <row r="2639">
          <cell r="A2639" t="str">
            <v>60100-63032-00</v>
          </cell>
          <cell r="F2639">
            <v>39426.58</v>
          </cell>
        </row>
        <row r="2640">
          <cell r="A2640" t="str">
            <v>60100-64032-00</v>
          </cell>
          <cell r="F2640">
            <v>-749.97</v>
          </cell>
        </row>
        <row r="2641">
          <cell r="A2641" t="str">
            <v>60100-81001-00</v>
          </cell>
          <cell r="F2641">
            <v>1481845.11</v>
          </cell>
        </row>
        <row r="2642">
          <cell r="A2642" t="str">
            <v>60100-81005-00</v>
          </cell>
          <cell r="F2642">
            <v>0</v>
          </cell>
        </row>
        <row r="2643">
          <cell r="A2643" t="str">
            <v>60100-83001-00</v>
          </cell>
          <cell r="F2643">
            <v>1166535.78</v>
          </cell>
        </row>
        <row r="2644">
          <cell r="A2644" t="str">
            <v>60100-84001-00</v>
          </cell>
          <cell r="F2644">
            <v>250534.76</v>
          </cell>
        </row>
        <row r="2645">
          <cell r="A2645" t="str">
            <v>60100-85001-00</v>
          </cell>
          <cell r="F2645">
            <v>-10201.86</v>
          </cell>
        </row>
        <row r="2646">
          <cell r="A2646" t="str">
            <v>60100-89001-00</v>
          </cell>
          <cell r="F2646">
            <v>0</v>
          </cell>
        </row>
        <row r="2647">
          <cell r="A2647" t="str">
            <v>60103-45001-00</v>
          </cell>
          <cell r="F2647">
            <v>-6920.8</v>
          </cell>
        </row>
        <row r="2648">
          <cell r="A2648" t="str">
            <v>60103-45002-00</v>
          </cell>
          <cell r="F2648">
            <v>-502.8</v>
          </cell>
        </row>
        <row r="2649">
          <cell r="A2649" t="str">
            <v>60103-45003-00</v>
          </cell>
          <cell r="F2649">
            <v>0</v>
          </cell>
        </row>
        <row r="2650">
          <cell r="A2650" t="str">
            <v>60103-45005-00</v>
          </cell>
          <cell r="F2650">
            <v>-1462.8</v>
          </cell>
        </row>
        <row r="2651">
          <cell r="A2651" t="str">
            <v>60103-45009-00</v>
          </cell>
          <cell r="F2651">
            <v>0</v>
          </cell>
        </row>
        <row r="2652">
          <cell r="A2652" t="str">
            <v>60103-45029-00</v>
          </cell>
          <cell r="F2652">
            <v>-290.39999999999998</v>
          </cell>
        </row>
        <row r="2653">
          <cell r="A2653" t="str">
            <v>60103-45052-00</v>
          </cell>
          <cell r="F2653">
            <v>0</v>
          </cell>
        </row>
        <row r="2654">
          <cell r="A2654" t="str">
            <v>60120-00000-00</v>
          </cell>
          <cell r="F2654">
            <v>0</v>
          </cell>
        </row>
        <row r="2655">
          <cell r="A2655" t="str">
            <v>60120-11001-00</v>
          </cell>
          <cell r="F2655">
            <v>9899.5499999999993</v>
          </cell>
        </row>
        <row r="2656">
          <cell r="A2656" t="str">
            <v>60120-13006-00</v>
          </cell>
          <cell r="F2656">
            <v>0</v>
          </cell>
        </row>
        <row r="2657">
          <cell r="A2657" t="str">
            <v>60120-13007-00</v>
          </cell>
          <cell r="F2657">
            <v>0</v>
          </cell>
        </row>
        <row r="2658">
          <cell r="A2658" t="str">
            <v>60120-14001-00</v>
          </cell>
          <cell r="F2658">
            <v>4290.2</v>
          </cell>
        </row>
        <row r="2659">
          <cell r="A2659" t="str">
            <v>60120-15001-00</v>
          </cell>
          <cell r="F2659">
            <v>5148.24</v>
          </cell>
        </row>
        <row r="2660">
          <cell r="A2660" t="str">
            <v>60120-31001-00</v>
          </cell>
          <cell r="F2660">
            <v>2422.36</v>
          </cell>
        </row>
        <row r="2661">
          <cell r="A2661" t="str">
            <v>60120-41001-00</v>
          </cell>
          <cell r="F2661">
            <v>18630.34</v>
          </cell>
        </row>
        <row r="2662">
          <cell r="A2662" t="str">
            <v>60120-41002-00</v>
          </cell>
          <cell r="F2662">
            <v>8621.25</v>
          </cell>
        </row>
        <row r="2663">
          <cell r="A2663" t="str">
            <v>60120-41003-00</v>
          </cell>
          <cell r="F2663">
            <v>10956.05</v>
          </cell>
        </row>
        <row r="2664">
          <cell r="A2664" t="str">
            <v>60120-41004-00</v>
          </cell>
          <cell r="F2664">
            <v>6391.52</v>
          </cell>
        </row>
        <row r="2665">
          <cell r="A2665" t="str">
            <v>60120-41005-00</v>
          </cell>
          <cell r="F2665">
            <v>4453.63</v>
          </cell>
        </row>
        <row r="2666">
          <cell r="A2666" t="str">
            <v>60120-41009-00</v>
          </cell>
          <cell r="F2666">
            <v>998.13</v>
          </cell>
        </row>
        <row r="2667">
          <cell r="A2667" t="str">
            <v>60120-41029-00</v>
          </cell>
          <cell r="F2667">
            <v>10763.43</v>
          </cell>
        </row>
        <row r="2668">
          <cell r="A2668" t="str">
            <v>60120-41030-00</v>
          </cell>
          <cell r="F2668">
            <v>2007.93</v>
          </cell>
        </row>
        <row r="2669">
          <cell r="A2669" t="str">
            <v>60120-41031-00</v>
          </cell>
          <cell r="F2669">
            <v>840.53</v>
          </cell>
        </row>
        <row r="2670">
          <cell r="A2670" t="str">
            <v>60120-41032-00</v>
          </cell>
          <cell r="F2670">
            <v>3344.6</v>
          </cell>
        </row>
        <row r="2671">
          <cell r="A2671" t="str">
            <v>60120-41041-00</v>
          </cell>
          <cell r="F2671">
            <v>0</v>
          </cell>
        </row>
        <row r="2672">
          <cell r="A2672" t="str">
            <v>60120-41049-00</v>
          </cell>
          <cell r="F2672">
            <v>0</v>
          </cell>
        </row>
        <row r="2673">
          <cell r="A2673" t="str">
            <v>60120-41052-00</v>
          </cell>
          <cell r="F2673">
            <v>0</v>
          </cell>
        </row>
        <row r="2674">
          <cell r="A2674" t="str">
            <v>60120-43001-00</v>
          </cell>
          <cell r="F2674">
            <v>1996.25</v>
          </cell>
        </row>
        <row r="2675">
          <cell r="A2675" t="str">
            <v>60120-43002-00</v>
          </cell>
          <cell r="F2675">
            <v>449.45</v>
          </cell>
        </row>
        <row r="2676">
          <cell r="A2676" t="str">
            <v>60120-43003-00</v>
          </cell>
          <cell r="F2676">
            <v>875.55</v>
          </cell>
        </row>
        <row r="2677">
          <cell r="A2677" t="str">
            <v>60120-43005-00</v>
          </cell>
          <cell r="F2677">
            <v>1751.1</v>
          </cell>
        </row>
        <row r="2678">
          <cell r="A2678" t="str">
            <v>60120-43009-00</v>
          </cell>
          <cell r="F2678">
            <v>2696.69</v>
          </cell>
        </row>
        <row r="2679">
          <cell r="A2679" t="str">
            <v>60120-43029-00</v>
          </cell>
          <cell r="F2679">
            <v>2543.4899999999998</v>
          </cell>
        </row>
        <row r="2680">
          <cell r="A2680" t="str">
            <v>60120-43030-00</v>
          </cell>
          <cell r="F2680">
            <v>12654.62</v>
          </cell>
        </row>
        <row r="2681">
          <cell r="A2681" t="str">
            <v>60120-43031-00</v>
          </cell>
          <cell r="F2681">
            <v>1336.67</v>
          </cell>
        </row>
        <row r="2682">
          <cell r="A2682" t="str">
            <v>60120-43032-00</v>
          </cell>
          <cell r="F2682">
            <v>0</v>
          </cell>
        </row>
        <row r="2683">
          <cell r="A2683" t="str">
            <v>60120-43041-00</v>
          </cell>
          <cell r="F2683">
            <v>1721.92</v>
          </cell>
        </row>
        <row r="2684">
          <cell r="A2684" t="str">
            <v>60120-45001-00</v>
          </cell>
          <cell r="F2684">
            <v>12695.48</v>
          </cell>
        </row>
        <row r="2685">
          <cell r="A2685" t="str">
            <v>60120-45002-00</v>
          </cell>
          <cell r="F2685">
            <v>7412.99</v>
          </cell>
        </row>
        <row r="2686">
          <cell r="A2686" t="str">
            <v>60120-45003-00</v>
          </cell>
          <cell r="F2686">
            <v>0</v>
          </cell>
        </row>
        <row r="2687">
          <cell r="A2687" t="str">
            <v>60120-45005-00</v>
          </cell>
          <cell r="F2687">
            <v>2235.5700000000002</v>
          </cell>
        </row>
        <row r="2688">
          <cell r="A2688" t="str">
            <v>60120-45009-00</v>
          </cell>
          <cell r="F2688">
            <v>0</v>
          </cell>
        </row>
        <row r="2689">
          <cell r="A2689" t="str">
            <v>60120-45029-00</v>
          </cell>
          <cell r="F2689">
            <v>840.53</v>
          </cell>
        </row>
        <row r="2690">
          <cell r="A2690" t="str">
            <v>60120-45030-00</v>
          </cell>
          <cell r="F2690">
            <v>577.86</v>
          </cell>
        </row>
        <row r="2691">
          <cell r="A2691" t="str">
            <v>60120-45031-00</v>
          </cell>
          <cell r="F2691">
            <v>0</v>
          </cell>
        </row>
        <row r="2692">
          <cell r="A2692" t="str">
            <v>60120-45032-00</v>
          </cell>
          <cell r="F2692">
            <v>461.12</v>
          </cell>
        </row>
        <row r="2693">
          <cell r="A2693" t="str">
            <v>60120-45052-00</v>
          </cell>
          <cell r="F2693">
            <v>0</v>
          </cell>
        </row>
        <row r="2694">
          <cell r="A2694" t="str">
            <v>60120-51001-00</v>
          </cell>
          <cell r="F2694">
            <v>186647.16</v>
          </cell>
        </row>
        <row r="2695">
          <cell r="A2695" t="str">
            <v>60120-53001-00</v>
          </cell>
          <cell r="F2695">
            <v>0</v>
          </cell>
        </row>
        <row r="2696">
          <cell r="A2696" t="str">
            <v>60120-61030-00</v>
          </cell>
          <cell r="F2696">
            <v>0</v>
          </cell>
        </row>
        <row r="2697">
          <cell r="A2697" t="str">
            <v>60120-61031-00</v>
          </cell>
          <cell r="F2697">
            <v>7709.31</v>
          </cell>
        </row>
        <row r="2698">
          <cell r="A2698" t="str">
            <v>60120-62030-00</v>
          </cell>
          <cell r="F2698">
            <v>4021.69</v>
          </cell>
        </row>
        <row r="2699">
          <cell r="A2699" t="str">
            <v>60120-62032-00</v>
          </cell>
          <cell r="F2699">
            <v>0</v>
          </cell>
        </row>
        <row r="2700">
          <cell r="A2700" t="str">
            <v>60120-63030-00</v>
          </cell>
          <cell r="F2700">
            <v>1710.24</v>
          </cell>
        </row>
        <row r="2701">
          <cell r="A2701" t="str">
            <v>60120-63032-00</v>
          </cell>
          <cell r="F2701">
            <v>0</v>
          </cell>
        </row>
        <row r="2702">
          <cell r="A2702" t="str">
            <v>60120-64032-00</v>
          </cell>
          <cell r="F2702">
            <v>0</v>
          </cell>
        </row>
        <row r="2703">
          <cell r="A2703" t="str">
            <v>60120-81001-00</v>
          </cell>
          <cell r="F2703">
            <v>31164.01</v>
          </cell>
        </row>
        <row r="2704">
          <cell r="A2704" t="str">
            <v>60120-83001-00</v>
          </cell>
          <cell r="F2704">
            <v>210877.65</v>
          </cell>
        </row>
        <row r="2705">
          <cell r="A2705" t="str">
            <v>60120-84001-00</v>
          </cell>
          <cell r="F2705">
            <v>13734.46</v>
          </cell>
        </row>
        <row r="2706">
          <cell r="A2706" t="str">
            <v>60120-85001-00</v>
          </cell>
          <cell r="F2706">
            <v>0</v>
          </cell>
        </row>
        <row r="2707">
          <cell r="A2707" t="str">
            <v>60150-00000-00</v>
          </cell>
          <cell r="F2707">
            <v>0</v>
          </cell>
        </row>
        <row r="2708">
          <cell r="A2708" t="str">
            <v>60150-11001-00</v>
          </cell>
          <cell r="F2708">
            <v>4968.6000000000004</v>
          </cell>
        </row>
        <row r="2709">
          <cell r="A2709" t="str">
            <v>60150-11005-00</v>
          </cell>
          <cell r="F2709">
            <v>0</v>
          </cell>
        </row>
        <row r="2710">
          <cell r="A2710" t="str">
            <v>60150-14001-00</v>
          </cell>
          <cell r="F2710">
            <v>-3310.84</v>
          </cell>
        </row>
        <row r="2711">
          <cell r="A2711" t="str">
            <v>60150-15001-00</v>
          </cell>
          <cell r="F2711">
            <v>-1222.93</v>
          </cell>
        </row>
        <row r="2712">
          <cell r="A2712" t="str">
            <v>60150-15005-00</v>
          </cell>
          <cell r="F2712">
            <v>0</v>
          </cell>
        </row>
        <row r="2713">
          <cell r="A2713" t="str">
            <v>60150-31001-00</v>
          </cell>
          <cell r="F2713">
            <v>-171.92</v>
          </cell>
        </row>
        <row r="2714">
          <cell r="A2714" t="str">
            <v>60150-41001-00</v>
          </cell>
          <cell r="F2714">
            <v>2881.66</v>
          </cell>
        </row>
        <row r="2715">
          <cell r="A2715" t="str">
            <v>60150-41002-00</v>
          </cell>
          <cell r="F2715">
            <v>-624.41</v>
          </cell>
        </row>
        <row r="2716">
          <cell r="A2716" t="str">
            <v>60150-41003-00</v>
          </cell>
          <cell r="F2716">
            <v>-6999.4</v>
          </cell>
        </row>
        <row r="2717">
          <cell r="A2717" t="str">
            <v>60150-41004-00</v>
          </cell>
          <cell r="F2717">
            <v>-1703.96</v>
          </cell>
        </row>
        <row r="2718">
          <cell r="A2718" t="str">
            <v>60150-41005-00</v>
          </cell>
          <cell r="F2718">
            <v>1829.53</v>
          </cell>
        </row>
        <row r="2719">
          <cell r="A2719" t="str">
            <v>60150-41009-00</v>
          </cell>
          <cell r="F2719">
            <v>420.2</v>
          </cell>
        </row>
        <row r="2720">
          <cell r="A2720" t="str">
            <v>60150-41029-00</v>
          </cell>
          <cell r="F2720">
            <v>-866.34</v>
          </cell>
        </row>
        <row r="2721">
          <cell r="A2721" t="str">
            <v>60150-41030-00</v>
          </cell>
          <cell r="F2721">
            <v>1692.42</v>
          </cell>
        </row>
        <row r="2722">
          <cell r="A2722" t="str">
            <v>60150-41031-00</v>
          </cell>
          <cell r="F2722">
            <v>897.53</v>
          </cell>
        </row>
        <row r="2723">
          <cell r="A2723" t="str">
            <v>60150-41032-00</v>
          </cell>
          <cell r="F2723">
            <v>2114.1799999999998</v>
          </cell>
        </row>
        <row r="2724">
          <cell r="A2724" t="str">
            <v>60150-41041-00</v>
          </cell>
          <cell r="F2724">
            <v>184.8</v>
          </cell>
        </row>
        <row r="2725">
          <cell r="A2725" t="str">
            <v>60150-41049-00</v>
          </cell>
          <cell r="F2725">
            <v>860.86</v>
          </cell>
        </row>
        <row r="2726">
          <cell r="A2726" t="str">
            <v>60150-41052-00</v>
          </cell>
          <cell r="F2726">
            <v>0</v>
          </cell>
        </row>
        <row r="2727">
          <cell r="A2727" t="str">
            <v>60150-43001-00</v>
          </cell>
          <cell r="F2727">
            <v>572.74</v>
          </cell>
        </row>
        <row r="2728">
          <cell r="A2728" t="str">
            <v>60150-43002-00</v>
          </cell>
          <cell r="F2728">
            <v>-318.77</v>
          </cell>
        </row>
        <row r="2729">
          <cell r="A2729" t="str">
            <v>60150-43003-00</v>
          </cell>
          <cell r="F2729">
            <v>318.89999999999998</v>
          </cell>
        </row>
        <row r="2730">
          <cell r="A2730" t="str">
            <v>60150-43005-00</v>
          </cell>
          <cell r="F2730">
            <v>1604.21</v>
          </cell>
        </row>
        <row r="2731">
          <cell r="A2731" t="str">
            <v>60150-43009-00</v>
          </cell>
          <cell r="F2731">
            <v>1831.18</v>
          </cell>
        </row>
        <row r="2732">
          <cell r="A2732" t="str">
            <v>60150-43029-00</v>
          </cell>
          <cell r="F2732">
            <v>-3160.93</v>
          </cell>
        </row>
        <row r="2733">
          <cell r="A2733" t="str">
            <v>60150-43030-00</v>
          </cell>
          <cell r="F2733">
            <v>2480.19</v>
          </cell>
        </row>
        <row r="2734">
          <cell r="A2734" t="str">
            <v>60150-43031-00</v>
          </cell>
          <cell r="F2734">
            <v>-789.8</v>
          </cell>
        </row>
        <row r="2735">
          <cell r="A2735" t="str">
            <v>60150-43032-00</v>
          </cell>
          <cell r="F2735">
            <v>0</v>
          </cell>
        </row>
        <row r="2736">
          <cell r="A2736" t="str">
            <v>60150-43041-00</v>
          </cell>
          <cell r="F2736">
            <v>-506.58</v>
          </cell>
        </row>
        <row r="2737">
          <cell r="A2737" t="str">
            <v>60150-43052-00</v>
          </cell>
          <cell r="F2737">
            <v>0</v>
          </cell>
        </row>
        <row r="2738">
          <cell r="A2738" t="str">
            <v>60150-45001-00</v>
          </cell>
          <cell r="F2738">
            <v>546.37</v>
          </cell>
        </row>
        <row r="2739">
          <cell r="A2739" t="str">
            <v>60150-45002-00</v>
          </cell>
          <cell r="F2739">
            <v>3296.93</v>
          </cell>
        </row>
        <row r="2740">
          <cell r="A2740" t="str">
            <v>60150-45005-00</v>
          </cell>
          <cell r="F2740">
            <v>-1021.44</v>
          </cell>
        </row>
        <row r="2741">
          <cell r="A2741" t="str">
            <v>60150-45009-00</v>
          </cell>
          <cell r="F2741">
            <v>0</v>
          </cell>
        </row>
        <row r="2742">
          <cell r="A2742" t="str">
            <v>60150-45029-00</v>
          </cell>
          <cell r="F2742">
            <v>861.62</v>
          </cell>
        </row>
        <row r="2743">
          <cell r="A2743" t="str">
            <v>60150-45030-00</v>
          </cell>
          <cell r="F2743">
            <v>-1479.97</v>
          </cell>
        </row>
        <row r="2744">
          <cell r="A2744" t="str">
            <v>60150-45031-00</v>
          </cell>
          <cell r="F2744">
            <v>0</v>
          </cell>
        </row>
        <row r="2745">
          <cell r="A2745" t="str">
            <v>60150-45032-00</v>
          </cell>
          <cell r="F2745">
            <v>483.32</v>
          </cell>
        </row>
        <row r="2746">
          <cell r="A2746" t="str">
            <v>60150-45052-00</v>
          </cell>
          <cell r="F2746">
            <v>0</v>
          </cell>
        </row>
        <row r="2747">
          <cell r="A2747" t="str">
            <v>60150-51001-00</v>
          </cell>
          <cell r="F2747">
            <v>12809.35</v>
          </cell>
        </row>
        <row r="2748">
          <cell r="A2748" t="str">
            <v>60150-51005-00</v>
          </cell>
          <cell r="F2748">
            <v>0</v>
          </cell>
        </row>
        <row r="2749">
          <cell r="A2749" t="str">
            <v>60150-53001-00</v>
          </cell>
          <cell r="F2749">
            <v>0</v>
          </cell>
        </row>
        <row r="2750">
          <cell r="A2750" t="str">
            <v>60150-61030-00</v>
          </cell>
          <cell r="F2750">
            <v>0</v>
          </cell>
        </row>
        <row r="2751">
          <cell r="A2751" t="str">
            <v>60150-61031-00</v>
          </cell>
          <cell r="F2751">
            <v>-3041.15</v>
          </cell>
        </row>
        <row r="2752">
          <cell r="A2752" t="str">
            <v>60150-62030-00</v>
          </cell>
          <cell r="F2752">
            <v>779.23</v>
          </cell>
        </row>
        <row r="2753">
          <cell r="A2753" t="str">
            <v>60150-62032-00</v>
          </cell>
          <cell r="F2753">
            <v>0</v>
          </cell>
        </row>
        <row r="2754">
          <cell r="A2754" t="str">
            <v>60150-63030-00</v>
          </cell>
          <cell r="F2754">
            <v>781.12</v>
          </cell>
        </row>
        <row r="2755">
          <cell r="A2755" t="str">
            <v>60150-63032-00</v>
          </cell>
          <cell r="F2755">
            <v>0</v>
          </cell>
        </row>
        <row r="2756">
          <cell r="A2756" t="str">
            <v>60150-64032-00</v>
          </cell>
          <cell r="F2756">
            <v>0</v>
          </cell>
        </row>
        <row r="2757">
          <cell r="A2757" t="str">
            <v>60150-81001-00</v>
          </cell>
          <cell r="F2757">
            <v>213.66</v>
          </cell>
        </row>
        <row r="2758">
          <cell r="A2758" t="str">
            <v>60150-81005-00</v>
          </cell>
          <cell r="F2758">
            <v>0</v>
          </cell>
        </row>
        <row r="2759">
          <cell r="A2759" t="str">
            <v>60150-83001-00</v>
          </cell>
          <cell r="F2759">
            <v>-19070.009999999998</v>
          </cell>
        </row>
        <row r="2760">
          <cell r="A2760" t="str">
            <v>60150-84001-00</v>
          </cell>
          <cell r="F2760">
            <v>5029.9799999999996</v>
          </cell>
        </row>
        <row r="2761">
          <cell r="A2761" t="str">
            <v>60150-85001-00</v>
          </cell>
          <cell r="F2761">
            <v>0</v>
          </cell>
        </row>
        <row r="2762">
          <cell r="A2762" t="str">
            <v>60200-00000-00</v>
          </cell>
          <cell r="F2762">
            <v>0</v>
          </cell>
        </row>
        <row r="2763">
          <cell r="A2763" t="str">
            <v>60200-11001-00</v>
          </cell>
          <cell r="F2763">
            <v>57237.33</v>
          </cell>
        </row>
        <row r="2764">
          <cell r="A2764" t="str">
            <v>60200-11005-00</v>
          </cell>
          <cell r="F2764">
            <v>0</v>
          </cell>
        </row>
        <row r="2765">
          <cell r="A2765" t="str">
            <v>60200-13006-00</v>
          </cell>
          <cell r="F2765">
            <v>0</v>
          </cell>
        </row>
        <row r="2766">
          <cell r="A2766" t="str">
            <v>60200-13007-00</v>
          </cell>
          <cell r="F2766">
            <v>0</v>
          </cell>
        </row>
        <row r="2767">
          <cell r="A2767" t="str">
            <v>60200-14001-00</v>
          </cell>
          <cell r="F2767">
            <v>14294.91</v>
          </cell>
        </row>
        <row r="2768">
          <cell r="A2768" t="str">
            <v>60200-15001-00</v>
          </cell>
          <cell r="F2768">
            <v>38870.239999999998</v>
          </cell>
        </row>
        <row r="2769">
          <cell r="A2769" t="str">
            <v>60200-15005-00</v>
          </cell>
          <cell r="F2769">
            <v>0</v>
          </cell>
        </row>
        <row r="2770">
          <cell r="A2770" t="str">
            <v>60200-31000-00</v>
          </cell>
          <cell r="F2770">
            <v>0</v>
          </cell>
        </row>
        <row r="2771">
          <cell r="A2771" t="str">
            <v>60200-31001-00</v>
          </cell>
          <cell r="F2771">
            <v>17294.27</v>
          </cell>
        </row>
        <row r="2772">
          <cell r="A2772" t="str">
            <v>60200-41001-00</v>
          </cell>
          <cell r="F2772">
            <v>78791.56</v>
          </cell>
        </row>
        <row r="2773">
          <cell r="A2773" t="str">
            <v>60200-41002-00</v>
          </cell>
          <cell r="F2773">
            <v>31823.07</v>
          </cell>
        </row>
        <row r="2774">
          <cell r="A2774" t="str">
            <v>60200-41003-00</v>
          </cell>
          <cell r="F2774">
            <v>48009.41</v>
          </cell>
        </row>
        <row r="2775">
          <cell r="A2775" t="str">
            <v>60200-41004-00</v>
          </cell>
          <cell r="F2775">
            <v>22668.240000000002</v>
          </cell>
        </row>
        <row r="2776">
          <cell r="A2776" t="str">
            <v>60200-41005-00</v>
          </cell>
          <cell r="F2776">
            <v>18861.48</v>
          </cell>
        </row>
        <row r="2777">
          <cell r="A2777" t="str">
            <v>60200-41009-00</v>
          </cell>
          <cell r="F2777">
            <v>11764.6</v>
          </cell>
        </row>
        <row r="2778">
          <cell r="A2778" t="str">
            <v>60200-41029-00</v>
          </cell>
          <cell r="F2778">
            <v>10304.32</v>
          </cell>
        </row>
        <row r="2779">
          <cell r="A2779" t="str">
            <v>60200-41030-00</v>
          </cell>
          <cell r="F2779">
            <v>20606.07</v>
          </cell>
        </row>
        <row r="2780">
          <cell r="A2780" t="str">
            <v>60200-41031-00</v>
          </cell>
          <cell r="F2780">
            <v>8112.8</v>
          </cell>
        </row>
        <row r="2781">
          <cell r="A2781" t="str">
            <v>60200-41032-00</v>
          </cell>
          <cell r="F2781">
            <v>6607.75</v>
          </cell>
        </row>
        <row r="2782">
          <cell r="A2782" t="str">
            <v>60200-41041-00</v>
          </cell>
          <cell r="F2782">
            <v>902.51</v>
          </cell>
        </row>
        <row r="2783">
          <cell r="A2783" t="str">
            <v>60200-41049-00</v>
          </cell>
          <cell r="F2783">
            <v>1981.38</v>
          </cell>
        </row>
        <row r="2784">
          <cell r="A2784" t="str">
            <v>60200-41052-00</v>
          </cell>
          <cell r="F2784">
            <v>0</v>
          </cell>
        </row>
        <row r="2785">
          <cell r="A2785" t="str">
            <v>60200-43001-00</v>
          </cell>
          <cell r="F2785">
            <v>7774.17</v>
          </cell>
        </row>
        <row r="2786">
          <cell r="A2786" t="str">
            <v>60200-43002-00</v>
          </cell>
          <cell r="F2786">
            <v>7117.97</v>
          </cell>
        </row>
        <row r="2787">
          <cell r="A2787" t="str">
            <v>60200-43003-00</v>
          </cell>
          <cell r="F2787">
            <v>6897.79</v>
          </cell>
        </row>
        <row r="2788">
          <cell r="A2788" t="str">
            <v>60200-43005-00</v>
          </cell>
          <cell r="F2788">
            <v>5209.59</v>
          </cell>
        </row>
        <row r="2789">
          <cell r="A2789" t="str">
            <v>60200-43009-00</v>
          </cell>
          <cell r="F2789">
            <v>7882.33</v>
          </cell>
        </row>
        <row r="2790">
          <cell r="A2790" t="str">
            <v>60200-43029-00</v>
          </cell>
          <cell r="F2790">
            <v>10203.02</v>
          </cell>
        </row>
        <row r="2791">
          <cell r="A2791" t="str">
            <v>60200-43030-00</v>
          </cell>
          <cell r="F2791">
            <v>24922.01</v>
          </cell>
        </row>
        <row r="2792">
          <cell r="A2792" t="str">
            <v>60200-43031-00</v>
          </cell>
          <cell r="F2792">
            <v>6519.4</v>
          </cell>
        </row>
        <row r="2793">
          <cell r="A2793" t="str">
            <v>60200-43032-00</v>
          </cell>
          <cell r="F2793">
            <v>2933.16</v>
          </cell>
        </row>
        <row r="2794">
          <cell r="A2794" t="str">
            <v>60200-43041-00</v>
          </cell>
          <cell r="F2794">
            <v>10344.74</v>
          </cell>
        </row>
        <row r="2795">
          <cell r="A2795" t="str">
            <v>60200-43052-00</v>
          </cell>
          <cell r="F2795">
            <v>0</v>
          </cell>
        </row>
        <row r="2796">
          <cell r="A2796" t="str">
            <v>60200-45001-00</v>
          </cell>
          <cell r="F2796">
            <v>21381.71</v>
          </cell>
        </row>
        <row r="2797">
          <cell r="A2797" t="str">
            <v>60200-45002-00</v>
          </cell>
          <cell r="F2797">
            <v>48785.97</v>
          </cell>
        </row>
        <row r="2798">
          <cell r="A2798" t="str">
            <v>60200-45003-00</v>
          </cell>
          <cell r="F2798">
            <v>0</v>
          </cell>
        </row>
        <row r="2799">
          <cell r="A2799" t="str">
            <v>60200-45005-00</v>
          </cell>
          <cell r="F2799">
            <v>15597.83</v>
          </cell>
        </row>
        <row r="2800">
          <cell r="A2800" t="str">
            <v>60200-45009-00</v>
          </cell>
          <cell r="F2800">
            <v>0</v>
          </cell>
        </row>
        <row r="2801">
          <cell r="A2801" t="str">
            <v>60200-45029-00</v>
          </cell>
          <cell r="F2801">
            <v>6231.28</v>
          </cell>
        </row>
        <row r="2802">
          <cell r="A2802" t="str">
            <v>60200-45030-00</v>
          </cell>
          <cell r="F2802">
            <v>5122.59</v>
          </cell>
        </row>
        <row r="2803">
          <cell r="A2803" t="str">
            <v>60200-45031-00</v>
          </cell>
          <cell r="F2803">
            <v>0</v>
          </cell>
        </row>
        <row r="2804">
          <cell r="A2804" t="str">
            <v>60200-45032-00</v>
          </cell>
          <cell r="F2804">
            <v>2040.7</v>
          </cell>
        </row>
        <row r="2805">
          <cell r="A2805" t="str">
            <v>60200-45052-00</v>
          </cell>
          <cell r="F2805">
            <v>0</v>
          </cell>
        </row>
        <row r="2806">
          <cell r="A2806" t="str">
            <v>60200-51001-00</v>
          </cell>
          <cell r="F2806">
            <v>512138.83</v>
          </cell>
        </row>
        <row r="2807">
          <cell r="A2807" t="str">
            <v>60200-51005-00</v>
          </cell>
          <cell r="F2807">
            <v>0</v>
          </cell>
        </row>
        <row r="2808">
          <cell r="A2808" t="str">
            <v>60200-53001-00</v>
          </cell>
          <cell r="F2808">
            <v>0</v>
          </cell>
        </row>
        <row r="2809">
          <cell r="A2809" t="str">
            <v>60200-61030-00</v>
          </cell>
          <cell r="F2809">
            <v>0</v>
          </cell>
        </row>
        <row r="2810">
          <cell r="A2810" t="str">
            <v>60200-61031-00</v>
          </cell>
          <cell r="F2810">
            <v>12528.42</v>
          </cell>
        </row>
        <row r="2811">
          <cell r="A2811" t="str">
            <v>60200-62030-00</v>
          </cell>
          <cell r="F2811">
            <v>16062.45</v>
          </cell>
        </row>
        <row r="2812">
          <cell r="A2812" t="str">
            <v>60200-62032-00</v>
          </cell>
          <cell r="F2812">
            <v>0</v>
          </cell>
        </row>
        <row r="2813">
          <cell r="A2813" t="str">
            <v>60200-63030-00</v>
          </cell>
          <cell r="F2813">
            <v>13402.3</v>
          </cell>
        </row>
        <row r="2814">
          <cell r="A2814" t="str">
            <v>60200-63032-00</v>
          </cell>
          <cell r="F2814">
            <v>2595.48</v>
          </cell>
        </row>
        <row r="2815">
          <cell r="A2815" t="str">
            <v>60200-64032-00</v>
          </cell>
          <cell r="F2815">
            <v>-57.42</v>
          </cell>
        </row>
        <row r="2816">
          <cell r="A2816" t="str">
            <v>60200-81001-00</v>
          </cell>
          <cell r="F2816">
            <v>116547</v>
          </cell>
        </row>
        <row r="2817">
          <cell r="A2817" t="str">
            <v>60200-81005-00</v>
          </cell>
          <cell r="F2817">
            <v>0</v>
          </cell>
        </row>
        <row r="2818">
          <cell r="A2818" t="str">
            <v>60200-83001-00</v>
          </cell>
          <cell r="F2818">
            <v>68985.02</v>
          </cell>
        </row>
        <row r="2819">
          <cell r="A2819" t="str">
            <v>60200-84001-00</v>
          </cell>
          <cell r="F2819">
            <v>22094.01</v>
          </cell>
        </row>
        <row r="2820">
          <cell r="A2820" t="str">
            <v>60200-85001-00</v>
          </cell>
          <cell r="F2820">
            <v>-780.48</v>
          </cell>
        </row>
        <row r="2821">
          <cell r="A2821" t="str">
            <v>60200-89001-00</v>
          </cell>
          <cell r="F2821">
            <v>0</v>
          </cell>
        </row>
        <row r="2822">
          <cell r="A2822" t="str">
            <v>60250-00000-00</v>
          </cell>
          <cell r="F2822">
            <v>0</v>
          </cell>
        </row>
        <row r="2823">
          <cell r="A2823" t="str">
            <v>60250-11001-00</v>
          </cell>
          <cell r="F2823">
            <v>5408.07</v>
          </cell>
        </row>
        <row r="2824">
          <cell r="A2824" t="str">
            <v>60250-11005-00</v>
          </cell>
          <cell r="F2824">
            <v>0</v>
          </cell>
        </row>
        <row r="2825">
          <cell r="A2825" t="str">
            <v>60250-13006-00</v>
          </cell>
          <cell r="F2825">
            <v>0</v>
          </cell>
        </row>
        <row r="2826">
          <cell r="A2826" t="str">
            <v>60250-13007-00</v>
          </cell>
          <cell r="F2826">
            <v>0</v>
          </cell>
        </row>
        <row r="2827">
          <cell r="A2827" t="str">
            <v>60250-14001-00</v>
          </cell>
          <cell r="F2827">
            <v>249.53</v>
          </cell>
        </row>
        <row r="2828">
          <cell r="A2828" t="str">
            <v>60250-15001-00</v>
          </cell>
          <cell r="F2828">
            <v>1928.85</v>
          </cell>
        </row>
        <row r="2829">
          <cell r="A2829" t="str">
            <v>60250-15005-00</v>
          </cell>
          <cell r="F2829">
            <v>0</v>
          </cell>
        </row>
        <row r="2830">
          <cell r="A2830" t="str">
            <v>60250-31000-00</v>
          </cell>
          <cell r="F2830">
            <v>0</v>
          </cell>
        </row>
        <row r="2831">
          <cell r="A2831" t="str">
            <v>60250-31001-00</v>
          </cell>
          <cell r="F2831">
            <v>6067.95</v>
          </cell>
        </row>
        <row r="2832">
          <cell r="A2832" t="str">
            <v>60250-41001-00</v>
          </cell>
          <cell r="F2832">
            <v>48744.1</v>
          </cell>
        </row>
        <row r="2833">
          <cell r="A2833" t="str">
            <v>60250-41002-00</v>
          </cell>
          <cell r="F2833">
            <v>10110.69</v>
          </cell>
        </row>
        <row r="2834">
          <cell r="A2834" t="str">
            <v>60250-41003-00</v>
          </cell>
          <cell r="F2834">
            <v>19277.02</v>
          </cell>
        </row>
        <row r="2835">
          <cell r="A2835" t="str">
            <v>60250-41004-00</v>
          </cell>
          <cell r="F2835">
            <v>15962.8</v>
          </cell>
        </row>
        <row r="2836">
          <cell r="A2836" t="str">
            <v>60250-41005-00</v>
          </cell>
          <cell r="F2836">
            <v>15643.74</v>
          </cell>
        </row>
        <row r="2837">
          <cell r="A2837" t="str">
            <v>60250-41009-00</v>
          </cell>
          <cell r="F2837">
            <v>7061.56</v>
          </cell>
        </row>
        <row r="2838">
          <cell r="A2838" t="str">
            <v>60250-41029-00</v>
          </cell>
          <cell r="F2838">
            <v>2327.3000000000002</v>
          </cell>
        </row>
        <row r="2839">
          <cell r="A2839" t="str">
            <v>60250-41030-00</v>
          </cell>
          <cell r="F2839">
            <v>11482.06</v>
          </cell>
        </row>
        <row r="2840">
          <cell r="A2840" t="str">
            <v>60250-41031-00</v>
          </cell>
          <cell r="F2840">
            <v>4876.7299999999996</v>
          </cell>
        </row>
        <row r="2841">
          <cell r="A2841" t="str">
            <v>60250-41032-00</v>
          </cell>
          <cell r="F2841">
            <v>1906.96</v>
          </cell>
        </row>
        <row r="2842">
          <cell r="A2842" t="str">
            <v>60250-41041-00</v>
          </cell>
          <cell r="F2842">
            <v>23.5</v>
          </cell>
        </row>
        <row r="2843">
          <cell r="A2843" t="str">
            <v>60250-41049-00</v>
          </cell>
          <cell r="F2843">
            <v>868.86</v>
          </cell>
        </row>
        <row r="2844">
          <cell r="A2844" t="str">
            <v>60250-41052-00</v>
          </cell>
          <cell r="F2844">
            <v>0</v>
          </cell>
        </row>
        <row r="2845">
          <cell r="A2845" t="str">
            <v>60250-43001-00</v>
          </cell>
          <cell r="F2845">
            <v>6178.99</v>
          </cell>
        </row>
        <row r="2846">
          <cell r="A2846" t="str">
            <v>60250-43002-00</v>
          </cell>
          <cell r="F2846">
            <v>3086.97</v>
          </cell>
        </row>
        <row r="2847">
          <cell r="A2847" t="str">
            <v>60250-43003-00</v>
          </cell>
          <cell r="F2847">
            <v>3851.9</v>
          </cell>
        </row>
        <row r="2848">
          <cell r="A2848" t="str">
            <v>60250-43005-00</v>
          </cell>
          <cell r="F2848">
            <v>4513.68</v>
          </cell>
        </row>
        <row r="2849">
          <cell r="A2849" t="str">
            <v>60250-43009-00</v>
          </cell>
          <cell r="F2849">
            <v>6650.34</v>
          </cell>
        </row>
        <row r="2850">
          <cell r="A2850" t="str">
            <v>60250-43029-00</v>
          </cell>
          <cell r="F2850">
            <v>2296.89</v>
          </cell>
        </row>
        <row r="2851">
          <cell r="A2851" t="str">
            <v>60250-43030-00</v>
          </cell>
          <cell r="F2851">
            <v>18076.28</v>
          </cell>
        </row>
        <row r="2852">
          <cell r="A2852" t="str">
            <v>60250-43031-00</v>
          </cell>
          <cell r="F2852">
            <v>4749.13</v>
          </cell>
        </row>
        <row r="2853">
          <cell r="A2853" t="str">
            <v>60250-43032-00</v>
          </cell>
          <cell r="F2853">
            <v>1741.46</v>
          </cell>
        </row>
        <row r="2854">
          <cell r="A2854" t="str">
            <v>60250-43041-00</v>
          </cell>
          <cell r="F2854">
            <v>8537.11</v>
          </cell>
        </row>
        <row r="2855">
          <cell r="A2855" t="str">
            <v>60250-43052-00</v>
          </cell>
          <cell r="F2855">
            <v>0</v>
          </cell>
        </row>
        <row r="2856">
          <cell r="A2856" t="str">
            <v>60250-45001-00</v>
          </cell>
          <cell r="F2856">
            <v>5385.79</v>
          </cell>
        </row>
        <row r="2857">
          <cell r="A2857" t="str">
            <v>60250-45002-00</v>
          </cell>
          <cell r="F2857">
            <v>16963.04</v>
          </cell>
        </row>
        <row r="2858">
          <cell r="A2858" t="str">
            <v>60250-45003-00</v>
          </cell>
          <cell r="F2858">
            <v>0</v>
          </cell>
        </row>
        <row r="2859">
          <cell r="A2859" t="str">
            <v>60250-45005-00</v>
          </cell>
          <cell r="F2859">
            <v>5556.22</v>
          </cell>
        </row>
        <row r="2860">
          <cell r="A2860" t="str">
            <v>60250-45009-00</v>
          </cell>
          <cell r="F2860">
            <v>0</v>
          </cell>
        </row>
        <row r="2861">
          <cell r="A2861" t="str">
            <v>60250-45029-00</v>
          </cell>
          <cell r="F2861">
            <v>2697.21</v>
          </cell>
        </row>
        <row r="2862">
          <cell r="A2862" t="str">
            <v>60250-45030-00</v>
          </cell>
          <cell r="F2862">
            <v>169.87</v>
          </cell>
        </row>
        <row r="2863">
          <cell r="A2863" t="str">
            <v>60250-45031-00</v>
          </cell>
          <cell r="F2863">
            <v>0</v>
          </cell>
        </row>
        <row r="2864">
          <cell r="A2864" t="str">
            <v>60250-45032-00</v>
          </cell>
          <cell r="F2864">
            <v>120.18</v>
          </cell>
        </row>
        <row r="2865">
          <cell r="A2865" t="str">
            <v>60250-45052-00</v>
          </cell>
          <cell r="F2865">
            <v>0</v>
          </cell>
        </row>
        <row r="2866">
          <cell r="A2866" t="str">
            <v>60250-51001-00</v>
          </cell>
          <cell r="F2866">
            <v>299969.45</v>
          </cell>
        </row>
        <row r="2867">
          <cell r="A2867" t="str">
            <v>60250-51005-00</v>
          </cell>
          <cell r="F2867">
            <v>0</v>
          </cell>
        </row>
        <row r="2868">
          <cell r="A2868" t="str">
            <v>60250-53001-00</v>
          </cell>
          <cell r="F2868">
            <v>0</v>
          </cell>
        </row>
        <row r="2869">
          <cell r="A2869" t="str">
            <v>60250-61030-00</v>
          </cell>
          <cell r="F2869">
            <v>0</v>
          </cell>
        </row>
        <row r="2870">
          <cell r="A2870" t="str">
            <v>60250-61031-00</v>
          </cell>
          <cell r="F2870">
            <v>1262.9100000000001</v>
          </cell>
        </row>
        <row r="2871">
          <cell r="A2871" t="str">
            <v>60250-62030-00</v>
          </cell>
          <cell r="F2871">
            <v>8925.9500000000007</v>
          </cell>
        </row>
        <row r="2872">
          <cell r="A2872" t="str">
            <v>60250-62032-00</v>
          </cell>
          <cell r="F2872">
            <v>145.46</v>
          </cell>
        </row>
        <row r="2873">
          <cell r="A2873" t="str">
            <v>60250-63030-00</v>
          </cell>
          <cell r="F2873">
            <v>3261.7</v>
          </cell>
        </row>
        <row r="2874">
          <cell r="A2874" t="str">
            <v>60250-63032-00</v>
          </cell>
          <cell r="F2874">
            <v>599.52</v>
          </cell>
        </row>
        <row r="2875">
          <cell r="A2875" t="str">
            <v>60250-64032-00</v>
          </cell>
          <cell r="F2875">
            <v>77.73</v>
          </cell>
        </row>
        <row r="2876">
          <cell r="A2876" t="str">
            <v>60250-81001-00</v>
          </cell>
          <cell r="F2876">
            <v>4570.87</v>
          </cell>
        </row>
        <row r="2877">
          <cell r="A2877" t="str">
            <v>60250-81005-00</v>
          </cell>
          <cell r="F2877">
            <v>0</v>
          </cell>
        </row>
        <row r="2878">
          <cell r="A2878" t="str">
            <v>60250-83001-00</v>
          </cell>
          <cell r="F2878">
            <v>4821.28</v>
          </cell>
        </row>
        <row r="2879">
          <cell r="A2879" t="str">
            <v>60250-84001-00</v>
          </cell>
          <cell r="F2879">
            <v>968.14</v>
          </cell>
        </row>
        <row r="2880">
          <cell r="A2880" t="str">
            <v>60250-85001-00</v>
          </cell>
          <cell r="F2880">
            <v>-550.89</v>
          </cell>
        </row>
        <row r="2881">
          <cell r="A2881" t="str">
            <v>60300-00000-00</v>
          </cell>
          <cell r="F2881">
            <v>0</v>
          </cell>
        </row>
        <row r="2882">
          <cell r="A2882" t="str">
            <v>60300-11001-00</v>
          </cell>
          <cell r="F2882">
            <v>3483.18</v>
          </cell>
        </row>
        <row r="2883">
          <cell r="A2883" t="str">
            <v>60300-11005-00</v>
          </cell>
          <cell r="F2883">
            <v>0</v>
          </cell>
        </row>
        <row r="2884">
          <cell r="A2884" t="str">
            <v>60300-13006-00</v>
          </cell>
          <cell r="F2884">
            <v>0</v>
          </cell>
        </row>
        <row r="2885">
          <cell r="A2885" t="str">
            <v>60300-13007-00</v>
          </cell>
          <cell r="F2885">
            <v>0</v>
          </cell>
        </row>
        <row r="2886">
          <cell r="A2886" t="str">
            <v>60300-14001-00</v>
          </cell>
          <cell r="F2886">
            <v>1359.81</v>
          </cell>
        </row>
        <row r="2887">
          <cell r="A2887" t="str">
            <v>60300-15001-00</v>
          </cell>
          <cell r="F2887">
            <v>952.51</v>
          </cell>
        </row>
        <row r="2888">
          <cell r="A2888" t="str">
            <v>60300-15005-00</v>
          </cell>
          <cell r="F2888">
            <v>0</v>
          </cell>
        </row>
        <row r="2889">
          <cell r="A2889" t="str">
            <v>60300-31000-00</v>
          </cell>
          <cell r="F2889">
            <v>0</v>
          </cell>
        </row>
        <row r="2890">
          <cell r="A2890" t="str">
            <v>60300-31001-00</v>
          </cell>
          <cell r="F2890">
            <v>1416.14</v>
          </cell>
        </row>
        <row r="2891">
          <cell r="A2891" t="str">
            <v>60300-41001-00</v>
          </cell>
          <cell r="F2891">
            <v>5830.43</v>
          </cell>
        </row>
        <row r="2892">
          <cell r="A2892" t="str">
            <v>60300-41002-00</v>
          </cell>
          <cell r="F2892">
            <v>5358.96</v>
          </cell>
        </row>
        <row r="2893">
          <cell r="A2893" t="str">
            <v>60300-41003-00</v>
          </cell>
          <cell r="F2893">
            <v>3418.65</v>
          </cell>
        </row>
        <row r="2894">
          <cell r="A2894" t="str">
            <v>60300-41004-00</v>
          </cell>
          <cell r="F2894">
            <v>1817.27</v>
          </cell>
        </row>
        <row r="2895">
          <cell r="A2895" t="str">
            <v>60300-41005-00</v>
          </cell>
          <cell r="F2895">
            <v>1072.17</v>
          </cell>
        </row>
        <row r="2896">
          <cell r="A2896" t="str">
            <v>60300-41009-00</v>
          </cell>
          <cell r="F2896">
            <v>755.94</v>
          </cell>
        </row>
        <row r="2897">
          <cell r="A2897" t="str">
            <v>60300-41029-00</v>
          </cell>
          <cell r="F2897">
            <v>681.38</v>
          </cell>
        </row>
        <row r="2898">
          <cell r="A2898" t="str">
            <v>60300-41030-00</v>
          </cell>
          <cell r="F2898">
            <v>1364.78</v>
          </cell>
        </row>
        <row r="2899">
          <cell r="A2899" t="str">
            <v>60300-41031-00</v>
          </cell>
          <cell r="F2899">
            <v>602.96</v>
          </cell>
        </row>
        <row r="2900">
          <cell r="A2900" t="str">
            <v>60300-41032-00</v>
          </cell>
          <cell r="F2900">
            <v>613.95000000000005</v>
          </cell>
        </row>
        <row r="2901">
          <cell r="A2901" t="str">
            <v>60300-41041-00</v>
          </cell>
          <cell r="F2901">
            <v>92.17</v>
          </cell>
        </row>
        <row r="2902">
          <cell r="A2902" t="str">
            <v>60300-41049-00</v>
          </cell>
          <cell r="F2902">
            <v>207.15</v>
          </cell>
        </row>
        <row r="2903">
          <cell r="A2903" t="str">
            <v>60300-41052-00</v>
          </cell>
          <cell r="F2903">
            <v>0</v>
          </cell>
        </row>
        <row r="2904">
          <cell r="A2904" t="str">
            <v>60300-43001-00</v>
          </cell>
          <cell r="F2904">
            <v>673.96</v>
          </cell>
        </row>
        <row r="2905">
          <cell r="A2905" t="str">
            <v>60300-43002-00</v>
          </cell>
          <cell r="F2905">
            <v>1096.3599999999999</v>
          </cell>
        </row>
        <row r="2906">
          <cell r="A2906" t="str">
            <v>60300-43003-00</v>
          </cell>
          <cell r="F2906">
            <v>441.13</v>
          </cell>
        </row>
        <row r="2907">
          <cell r="A2907" t="str">
            <v>60300-43005-00</v>
          </cell>
          <cell r="F2907">
            <v>371.02</v>
          </cell>
        </row>
        <row r="2908">
          <cell r="A2908" t="str">
            <v>60300-43009-00</v>
          </cell>
          <cell r="F2908">
            <v>562.6</v>
          </cell>
        </row>
        <row r="2909">
          <cell r="A2909" t="str">
            <v>60300-43029-00</v>
          </cell>
          <cell r="F2909">
            <v>702.38</v>
          </cell>
        </row>
        <row r="2910">
          <cell r="A2910" t="str">
            <v>60300-43030-00</v>
          </cell>
          <cell r="F2910">
            <v>1461.17</v>
          </cell>
        </row>
        <row r="2911">
          <cell r="A2911" t="str">
            <v>60300-43031-00</v>
          </cell>
          <cell r="F2911">
            <v>430.4</v>
          </cell>
        </row>
        <row r="2912">
          <cell r="A2912" t="str">
            <v>60300-43032-00</v>
          </cell>
          <cell r="F2912">
            <v>246.41</v>
          </cell>
        </row>
        <row r="2913">
          <cell r="A2913" t="str">
            <v>60300-43041-00</v>
          </cell>
          <cell r="F2913">
            <v>763.2</v>
          </cell>
        </row>
        <row r="2914">
          <cell r="A2914" t="str">
            <v>60300-43052-00</v>
          </cell>
          <cell r="F2914">
            <v>0</v>
          </cell>
        </row>
        <row r="2915">
          <cell r="A2915" t="str">
            <v>60300-45001-00</v>
          </cell>
          <cell r="F2915">
            <v>1152.8399999999999</v>
          </cell>
        </row>
        <row r="2916">
          <cell r="A2916" t="str">
            <v>60300-45002-00</v>
          </cell>
          <cell r="F2916">
            <v>7870.82</v>
          </cell>
        </row>
        <row r="2917">
          <cell r="A2917" t="str">
            <v>60300-45003-00</v>
          </cell>
          <cell r="F2917">
            <v>0</v>
          </cell>
        </row>
        <row r="2918">
          <cell r="A2918" t="str">
            <v>60300-45005-00</v>
          </cell>
          <cell r="F2918">
            <v>1057.8900000000001</v>
          </cell>
        </row>
        <row r="2919">
          <cell r="A2919" t="str">
            <v>60300-45009-00</v>
          </cell>
          <cell r="F2919">
            <v>0</v>
          </cell>
        </row>
        <row r="2920">
          <cell r="A2920" t="str">
            <v>60300-45029-00</v>
          </cell>
          <cell r="F2920">
            <v>398.43</v>
          </cell>
        </row>
        <row r="2921">
          <cell r="A2921" t="str">
            <v>60300-45030-00</v>
          </cell>
          <cell r="F2921">
            <v>348.11</v>
          </cell>
        </row>
        <row r="2922">
          <cell r="A2922" t="str">
            <v>60300-45031-00</v>
          </cell>
          <cell r="F2922">
            <v>0</v>
          </cell>
        </row>
        <row r="2923">
          <cell r="A2923" t="str">
            <v>60300-45032-00</v>
          </cell>
          <cell r="F2923">
            <v>179.75</v>
          </cell>
        </row>
        <row r="2924">
          <cell r="A2924" t="str">
            <v>60300-45052-00</v>
          </cell>
          <cell r="F2924">
            <v>0</v>
          </cell>
        </row>
        <row r="2925">
          <cell r="A2925" t="str">
            <v>60300-51001-00</v>
          </cell>
          <cell r="F2925">
            <v>41043.050000000003</v>
          </cell>
        </row>
        <row r="2926">
          <cell r="A2926" t="str">
            <v>60300-51005-00</v>
          </cell>
          <cell r="F2926">
            <v>0</v>
          </cell>
        </row>
        <row r="2927">
          <cell r="A2927" t="str">
            <v>60300-53001-00</v>
          </cell>
          <cell r="F2927">
            <v>0</v>
          </cell>
        </row>
        <row r="2928">
          <cell r="A2928" t="str">
            <v>60300-61030-00</v>
          </cell>
          <cell r="F2928">
            <v>0</v>
          </cell>
        </row>
        <row r="2929">
          <cell r="A2929" t="str">
            <v>60300-61031-00</v>
          </cell>
          <cell r="F2929">
            <v>1011.86</v>
          </cell>
        </row>
        <row r="2930">
          <cell r="A2930" t="str">
            <v>60300-62030-00</v>
          </cell>
          <cell r="F2930">
            <v>1024.27</v>
          </cell>
        </row>
        <row r="2931">
          <cell r="A2931" t="str">
            <v>60300-62032-00</v>
          </cell>
          <cell r="F2931">
            <v>0</v>
          </cell>
        </row>
        <row r="2932">
          <cell r="A2932" t="str">
            <v>60300-63030-00</v>
          </cell>
          <cell r="F2932">
            <v>1317.57</v>
          </cell>
        </row>
        <row r="2933">
          <cell r="A2933" t="str">
            <v>60300-63032-00</v>
          </cell>
          <cell r="F2933">
            <v>257.5</v>
          </cell>
        </row>
        <row r="2934">
          <cell r="A2934" t="str">
            <v>60300-64032-00</v>
          </cell>
          <cell r="F2934">
            <v>-3.78</v>
          </cell>
        </row>
        <row r="2935">
          <cell r="A2935" t="str">
            <v>60300-81001-00</v>
          </cell>
          <cell r="F2935">
            <v>8763.8700000000008</v>
          </cell>
        </row>
        <row r="2936">
          <cell r="A2936" t="str">
            <v>60300-81005-00</v>
          </cell>
          <cell r="F2936">
            <v>0</v>
          </cell>
        </row>
        <row r="2937">
          <cell r="A2937" t="str">
            <v>60300-83001-00</v>
          </cell>
          <cell r="F2937">
            <v>4819.22</v>
          </cell>
        </row>
        <row r="2938">
          <cell r="A2938" t="str">
            <v>60300-84001-00</v>
          </cell>
          <cell r="F2938">
            <v>1715.26</v>
          </cell>
        </row>
        <row r="2939">
          <cell r="A2939" t="str">
            <v>60300-85001-00</v>
          </cell>
          <cell r="F2939">
            <v>-51.03</v>
          </cell>
        </row>
        <row r="2940">
          <cell r="A2940" t="str">
            <v>60300-89001-00</v>
          </cell>
          <cell r="F2940">
            <v>0</v>
          </cell>
        </row>
        <row r="2941">
          <cell r="A2941" t="str">
            <v>60350-00000-00</v>
          </cell>
          <cell r="F2941">
            <v>0</v>
          </cell>
        </row>
        <row r="2942">
          <cell r="A2942" t="str">
            <v>60350-11001-00</v>
          </cell>
          <cell r="F2942">
            <v>49016.71</v>
          </cell>
        </row>
        <row r="2943">
          <cell r="A2943" t="str">
            <v>60350-11005-00</v>
          </cell>
          <cell r="F2943">
            <v>0</v>
          </cell>
        </row>
        <row r="2944">
          <cell r="A2944" t="str">
            <v>60350-13006-00</v>
          </cell>
          <cell r="F2944">
            <v>0</v>
          </cell>
        </row>
        <row r="2945">
          <cell r="A2945" t="str">
            <v>60350-13007-00</v>
          </cell>
          <cell r="F2945">
            <v>0</v>
          </cell>
        </row>
        <row r="2946">
          <cell r="A2946" t="str">
            <v>60350-14001-00</v>
          </cell>
          <cell r="F2946">
            <v>12468.81</v>
          </cell>
        </row>
        <row r="2947">
          <cell r="A2947" t="str">
            <v>60350-15001-00</v>
          </cell>
          <cell r="F2947">
            <v>30789.05</v>
          </cell>
        </row>
        <row r="2948">
          <cell r="A2948" t="str">
            <v>60350-15005-00</v>
          </cell>
          <cell r="F2948">
            <v>0</v>
          </cell>
        </row>
        <row r="2949">
          <cell r="A2949" t="str">
            <v>60350-31000-00</v>
          </cell>
          <cell r="F2949">
            <v>0</v>
          </cell>
        </row>
        <row r="2950">
          <cell r="A2950" t="str">
            <v>60350-31001-00</v>
          </cell>
          <cell r="F2950">
            <v>14724.33</v>
          </cell>
        </row>
        <row r="2951">
          <cell r="A2951" t="str">
            <v>60350-41001-00</v>
          </cell>
          <cell r="F2951">
            <v>63927.53</v>
          </cell>
        </row>
        <row r="2952">
          <cell r="A2952" t="str">
            <v>60350-41002-00</v>
          </cell>
          <cell r="F2952">
            <v>25076.87</v>
          </cell>
        </row>
        <row r="2953">
          <cell r="A2953" t="str">
            <v>60350-41003-00</v>
          </cell>
          <cell r="F2953">
            <v>39733.769999999997</v>
          </cell>
        </row>
        <row r="2954">
          <cell r="A2954" t="str">
            <v>60350-41004-00</v>
          </cell>
          <cell r="F2954">
            <v>21383.33</v>
          </cell>
        </row>
        <row r="2955">
          <cell r="A2955" t="str">
            <v>60350-41005-00</v>
          </cell>
          <cell r="F2955">
            <v>18289.650000000001</v>
          </cell>
        </row>
        <row r="2956">
          <cell r="A2956" t="str">
            <v>60350-41009-00</v>
          </cell>
          <cell r="F2956">
            <v>6461.21</v>
          </cell>
        </row>
        <row r="2957">
          <cell r="A2957" t="str">
            <v>60350-41029-00</v>
          </cell>
          <cell r="F2957">
            <v>7625.71</v>
          </cell>
        </row>
        <row r="2958">
          <cell r="A2958" t="str">
            <v>60350-41030-00</v>
          </cell>
          <cell r="F2958">
            <v>15617.39</v>
          </cell>
        </row>
        <row r="2959">
          <cell r="A2959" t="str">
            <v>60350-41031-00</v>
          </cell>
          <cell r="F2959">
            <v>6938.78</v>
          </cell>
        </row>
        <row r="2960">
          <cell r="A2960" t="str">
            <v>60350-41032-00</v>
          </cell>
          <cell r="F2960">
            <v>5965.04</v>
          </cell>
        </row>
        <row r="2961">
          <cell r="A2961" t="str">
            <v>60350-41041-00</v>
          </cell>
          <cell r="F2961">
            <v>558.54999999999995</v>
          </cell>
        </row>
        <row r="2962">
          <cell r="A2962" t="str">
            <v>60350-41049-00</v>
          </cell>
          <cell r="F2962">
            <v>1185.71</v>
          </cell>
        </row>
        <row r="2963">
          <cell r="A2963" t="str">
            <v>60350-41052-00</v>
          </cell>
          <cell r="F2963">
            <v>0</v>
          </cell>
        </row>
        <row r="2964">
          <cell r="A2964" t="str">
            <v>60350-43001-00</v>
          </cell>
          <cell r="F2964">
            <v>7314.98</v>
          </cell>
        </row>
        <row r="2965">
          <cell r="A2965" t="str">
            <v>60350-43002-00</v>
          </cell>
          <cell r="F2965">
            <v>6049</v>
          </cell>
        </row>
        <row r="2966">
          <cell r="A2966" t="str">
            <v>60350-43003-00</v>
          </cell>
          <cell r="F2966">
            <v>5995.93</v>
          </cell>
        </row>
        <row r="2967">
          <cell r="A2967" t="str">
            <v>60350-43005-00</v>
          </cell>
          <cell r="F2967">
            <v>4614.92</v>
          </cell>
        </row>
        <row r="2968">
          <cell r="A2968" t="str">
            <v>60350-43009-00</v>
          </cell>
          <cell r="F2968">
            <v>4005.38</v>
          </cell>
        </row>
        <row r="2969">
          <cell r="A2969" t="str">
            <v>60350-43029-00</v>
          </cell>
          <cell r="F2969">
            <v>9024.07</v>
          </cell>
        </row>
        <row r="2970">
          <cell r="A2970" t="str">
            <v>60350-43030-00</v>
          </cell>
          <cell r="F2970">
            <v>19006.52</v>
          </cell>
        </row>
        <row r="2971">
          <cell r="A2971" t="str">
            <v>60350-43031-00</v>
          </cell>
          <cell r="F2971">
            <v>5510.35</v>
          </cell>
        </row>
        <row r="2972">
          <cell r="A2972" t="str">
            <v>60350-43032-00</v>
          </cell>
          <cell r="F2972">
            <v>2285.94</v>
          </cell>
        </row>
        <row r="2973">
          <cell r="A2973" t="str">
            <v>60350-43041-00</v>
          </cell>
          <cell r="F2973">
            <v>8702.06</v>
          </cell>
        </row>
        <row r="2974">
          <cell r="A2974" t="str">
            <v>60350-43052-00</v>
          </cell>
          <cell r="F2974">
            <v>0</v>
          </cell>
        </row>
        <row r="2975">
          <cell r="A2975" t="str">
            <v>60350-45001-00</v>
          </cell>
          <cell r="F2975">
            <v>20696.45</v>
          </cell>
        </row>
        <row r="2976">
          <cell r="A2976" t="str">
            <v>60350-45002-00</v>
          </cell>
          <cell r="F2976">
            <v>40099.160000000003</v>
          </cell>
        </row>
        <row r="2977">
          <cell r="A2977" t="str">
            <v>60350-45003-00</v>
          </cell>
          <cell r="F2977">
            <v>0</v>
          </cell>
        </row>
        <row r="2978">
          <cell r="A2978" t="str">
            <v>60350-45005-00</v>
          </cell>
          <cell r="F2978">
            <v>13374.92</v>
          </cell>
        </row>
        <row r="2979">
          <cell r="A2979" t="str">
            <v>60350-45009-00</v>
          </cell>
          <cell r="F2979">
            <v>0</v>
          </cell>
        </row>
        <row r="2980">
          <cell r="A2980" t="str">
            <v>60350-45029-00</v>
          </cell>
          <cell r="F2980">
            <v>5705.43</v>
          </cell>
        </row>
        <row r="2981">
          <cell r="A2981" t="str">
            <v>60350-45030-00</v>
          </cell>
          <cell r="F2981">
            <v>4459.54</v>
          </cell>
        </row>
        <row r="2982">
          <cell r="A2982" t="str">
            <v>60350-45031-00</v>
          </cell>
          <cell r="F2982">
            <v>0</v>
          </cell>
        </row>
        <row r="2983">
          <cell r="A2983" t="str">
            <v>60350-45032-00</v>
          </cell>
          <cell r="F2983">
            <v>943.06</v>
          </cell>
        </row>
        <row r="2984">
          <cell r="A2984" t="str">
            <v>60350-45052-00</v>
          </cell>
          <cell r="F2984">
            <v>0</v>
          </cell>
        </row>
        <row r="2985">
          <cell r="A2985" t="str">
            <v>60350-51001-00</v>
          </cell>
          <cell r="F2985">
            <v>411573.71</v>
          </cell>
        </row>
        <row r="2986">
          <cell r="A2986" t="str">
            <v>60350-51005-00</v>
          </cell>
          <cell r="F2986">
            <v>0</v>
          </cell>
        </row>
        <row r="2987">
          <cell r="A2987" t="str">
            <v>60350-53001-00</v>
          </cell>
          <cell r="F2987">
            <v>0</v>
          </cell>
        </row>
        <row r="2988">
          <cell r="A2988" t="str">
            <v>60350-61030-00</v>
          </cell>
          <cell r="F2988">
            <v>0</v>
          </cell>
        </row>
        <row r="2989">
          <cell r="A2989" t="str">
            <v>60350-61031-00</v>
          </cell>
          <cell r="F2989">
            <v>12470.74</v>
          </cell>
        </row>
        <row r="2990">
          <cell r="A2990" t="str">
            <v>60350-62030-00</v>
          </cell>
          <cell r="F2990">
            <v>13987.98</v>
          </cell>
        </row>
        <row r="2991">
          <cell r="A2991" t="str">
            <v>60350-62032-00</v>
          </cell>
          <cell r="F2991">
            <v>131.12</v>
          </cell>
        </row>
        <row r="2992">
          <cell r="A2992" t="str">
            <v>60350-63030-00</v>
          </cell>
          <cell r="F2992">
            <v>10871.94</v>
          </cell>
        </row>
        <row r="2993">
          <cell r="A2993" t="str">
            <v>60350-63032-00</v>
          </cell>
          <cell r="F2993">
            <v>1873.82</v>
          </cell>
        </row>
        <row r="2994">
          <cell r="A2994" t="str">
            <v>60350-64032-00</v>
          </cell>
          <cell r="F2994">
            <v>764.41</v>
          </cell>
        </row>
        <row r="2995">
          <cell r="A2995" t="str">
            <v>60350-81001-00</v>
          </cell>
          <cell r="F2995">
            <v>105272.32000000001</v>
          </cell>
        </row>
        <row r="2996">
          <cell r="A2996" t="str">
            <v>60350-81005-00</v>
          </cell>
          <cell r="F2996">
            <v>0</v>
          </cell>
        </row>
        <row r="2997">
          <cell r="A2997" t="str">
            <v>60350-83001-00</v>
          </cell>
          <cell r="F2997">
            <v>90437.57</v>
          </cell>
        </row>
        <row r="2998">
          <cell r="A2998" t="str">
            <v>60350-84001-00</v>
          </cell>
          <cell r="F2998">
            <v>18916.52</v>
          </cell>
        </row>
        <row r="2999">
          <cell r="A2999" t="str">
            <v>60350-85001-00</v>
          </cell>
          <cell r="F2999">
            <v>1158.6600000000001</v>
          </cell>
        </row>
        <row r="3000">
          <cell r="A3000" t="str">
            <v>60350-89001-00</v>
          </cell>
          <cell r="F3000">
            <v>0</v>
          </cell>
        </row>
        <row r="3001">
          <cell r="A3001" t="str">
            <v>60400-00000-00</v>
          </cell>
          <cell r="F3001">
            <v>0</v>
          </cell>
        </row>
        <row r="3002">
          <cell r="A3002" t="str">
            <v>60400-11001-00</v>
          </cell>
          <cell r="F3002">
            <v>154128.84</v>
          </cell>
        </row>
        <row r="3003">
          <cell r="A3003" t="str">
            <v>60400-11005-00</v>
          </cell>
          <cell r="F3003">
            <v>0</v>
          </cell>
        </row>
        <row r="3004">
          <cell r="A3004" t="str">
            <v>60400-13006-00</v>
          </cell>
          <cell r="F3004">
            <v>0</v>
          </cell>
        </row>
        <row r="3005">
          <cell r="A3005" t="str">
            <v>60400-13007-00</v>
          </cell>
          <cell r="F3005">
            <v>0</v>
          </cell>
        </row>
        <row r="3006">
          <cell r="A3006" t="str">
            <v>60400-14001-00</v>
          </cell>
          <cell r="F3006">
            <v>59336.12</v>
          </cell>
        </row>
        <row r="3007">
          <cell r="A3007" t="str">
            <v>60400-15001-00</v>
          </cell>
          <cell r="F3007">
            <v>124701.97</v>
          </cell>
        </row>
        <row r="3008">
          <cell r="A3008" t="str">
            <v>60400-15005-00</v>
          </cell>
          <cell r="F3008">
            <v>0</v>
          </cell>
        </row>
        <row r="3009">
          <cell r="A3009" t="str">
            <v>60400-31000-00</v>
          </cell>
          <cell r="F3009">
            <v>0</v>
          </cell>
        </row>
        <row r="3010">
          <cell r="A3010" t="str">
            <v>60400-31001-00</v>
          </cell>
          <cell r="F3010">
            <v>33621.21</v>
          </cell>
        </row>
        <row r="3011">
          <cell r="A3011" t="str">
            <v>60400-41001-00</v>
          </cell>
          <cell r="F3011">
            <v>261448.47</v>
          </cell>
        </row>
        <row r="3012">
          <cell r="A3012" t="str">
            <v>60400-41002-00</v>
          </cell>
          <cell r="F3012">
            <v>102649.01</v>
          </cell>
        </row>
        <row r="3013">
          <cell r="A3013" t="str">
            <v>60400-41003-00</v>
          </cell>
          <cell r="F3013">
            <v>173762.29</v>
          </cell>
        </row>
        <row r="3014">
          <cell r="A3014" t="str">
            <v>60400-41004-00</v>
          </cell>
          <cell r="F3014">
            <v>102045.93</v>
          </cell>
        </row>
        <row r="3015">
          <cell r="A3015" t="str">
            <v>60400-41005-00</v>
          </cell>
          <cell r="F3015">
            <v>69644.23</v>
          </cell>
        </row>
        <row r="3016">
          <cell r="A3016" t="str">
            <v>60400-41009-00</v>
          </cell>
          <cell r="F3016">
            <v>31583.94</v>
          </cell>
        </row>
        <row r="3017">
          <cell r="A3017" t="str">
            <v>60400-41029-00</v>
          </cell>
          <cell r="F3017">
            <v>51771.7</v>
          </cell>
        </row>
        <row r="3018">
          <cell r="A3018" t="str">
            <v>60400-41030-00</v>
          </cell>
          <cell r="F3018">
            <v>39490.400000000001</v>
          </cell>
        </row>
        <row r="3019">
          <cell r="A3019" t="str">
            <v>60400-41031-00</v>
          </cell>
          <cell r="F3019">
            <v>22819.98</v>
          </cell>
        </row>
        <row r="3020">
          <cell r="A3020" t="str">
            <v>60400-41032-00</v>
          </cell>
          <cell r="F3020">
            <v>31724.05</v>
          </cell>
        </row>
        <row r="3021">
          <cell r="A3021" t="str">
            <v>60400-41041-00</v>
          </cell>
          <cell r="F3021">
            <v>-68.650000000000006</v>
          </cell>
        </row>
        <row r="3022">
          <cell r="A3022" t="str">
            <v>60400-41049-00</v>
          </cell>
          <cell r="F3022">
            <v>6344.21</v>
          </cell>
        </row>
        <row r="3023">
          <cell r="A3023" t="str">
            <v>60400-41052-00</v>
          </cell>
          <cell r="F3023">
            <v>0</v>
          </cell>
        </row>
        <row r="3024">
          <cell r="A3024" t="str">
            <v>60400-43001-00</v>
          </cell>
          <cell r="F3024">
            <v>21244.63</v>
          </cell>
        </row>
        <row r="3025">
          <cell r="A3025" t="str">
            <v>60400-43002-00</v>
          </cell>
          <cell r="F3025">
            <v>1208.6500000000001</v>
          </cell>
        </row>
        <row r="3026">
          <cell r="A3026" t="str">
            <v>60400-43003-00</v>
          </cell>
          <cell r="F3026">
            <v>15557.76</v>
          </cell>
        </row>
        <row r="3027">
          <cell r="A3027" t="str">
            <v>60400-43005-00</v>
          </cell>
          <cell r="F3027">
            <v>20174.080000000002</v>
          </cell>
        </row>
        <row r="3028">
          <cell r="A3028" t="str">
            <v>60400-43009-00</v>
          </cell>
          <cell r="F3028">
            <v>13025.87</v>
          </cell>
        </row>
        <row r="3029">
          <cell r="A3029" t="str">
            <v>60400-43029-00</v>
          </cell>
          <cell r="F3029">
            <v>20454.509999999998</v>
          </cell>
        </row>
        <row r="3030">
          <cell r="A3030" t="str">
            <v>60400-43030-00</v>
          </cell>
          <cell r="F3030">
            <v>70369.320000000007</v>
          </cell>
        </row>
        <row r="3031">
          <cell r="A3031" t="str">
            <v>60400-43031-00</v>
          </cell>
          <cell r="F3031">
            <v>12024.19</v>
          </cell>
        </row>
        <row r="3032">
          <cell r="A3032" t="str">
            <v>60400-43032-00</v>
          </cell>
          <cell r="F3032">
            <v>-216.11</v>
          </cell>
        </row>
        <row r="3033">
          <cell r="A3033" t="str">
            <v>60400-43041-00</v>
          </cell>
          <cell r="F3033">
            <v>58041.01</v>
          </cell>
        </row>
        <row r="3034">
          <cell r="A3034" t="str">
            <v>60400-43052-00</v>
          </cell>
          <cell r="F3034">
            <v>0</v>
          </cell>
        </row>
        <row r="3035">
          <cell r="A3035" t="str">
            <v>60400-45001-00</v>
          </cell>
          <cell r="F3035">
            <v>83566.67</v>
          </cell>
        </row>
        <row r="3036">
          <cell r="A3036" t="str">
            <v>60400-45002-00</v>
          </cell>
          <cell r="F3036">
            <v>92556.7</v>
          </cell>
        </row>
        <row r="3037">
          <cell r="A3037" t="str">
            <v>60400-45003-00</v>
          </cell>
          <cell r="F3037">
            <v>0</v>
          </cell>
        </row>
        <row r="3038">
          <cell r="A3038" t="str">
            <v>60400-45005-00</v>
          </cell>
          <cell r="F3038">
            <v>48953.31</v>
          </cell>
        </row>
        <row r="3039">
          <cell r="A3039" t="str">
            <v>60400-45009-00</v>
          </cell>
          <cell r="F3039">
            <v>0</v>
          </cell>
        </row>
        <row r="3040">
          <cell r="A3040" t="str">
            <v>60400-45029-00</v>
          </cell>
          <cell r="F3040">
            <v>11266.32</v>
          </cell>
        </row>
        <row r="3041">
          <cell r="A3041" t="str">
            <v>60400-45030-00</v>
          </cell>
          <cell r="F3041">
            <v>10656.15</v>
          </cell>
        </row>
        <row r="3042">
          <cell r="A3042" t="str">
            <v>60400-45031-00</v>
          </cell>
          <cell r="F3042">
            <v>0</v>
          </cell>
        </row>
        <row r="3043">
          <cell r="A3043" t="str">
            <v>60400-45032-00</v>
          </cell>
          <cell r="F3043">
            <v>43536.93</v>
          </cell>
        </row>
        <row r="3044">
          <cell r="A3044" t="str">
            <v>60400-45052-00</v>
          </cell>
          <cell r="F3044">
            <v>0</v>
          </cell>
        </row>
        <row r="3045">
          <cell r="A3045" t="str">
            <v>60400-51001-00</v>
          </cell>
          <cell r="F3045">
            <v>1440141.06</v>
          </cell>
        </row>
        <row r="3046">
          <cell r="A3046" t="str">
            <v>60400-51005-00</v>
          </cell>
          <cell r="F3046">
            <v>0</v>
          </cell>
        </row>
        <row r="3047">
          <cell r="A3047" t="str">
            <v>60400-53001-00</v>
          </cell>
          <cell r="F3047">
            <v>0</v>
          </cell>
        </row>
        <row r="3048">
          <cell r="A3048" t="str">
            <v>60400-61030-00</v>
          </cell>
          <cell r="F3048">
            <v>0</v>
          </cell>
        </row>
        <row r="3049">
          <cell r="A3049" t="str">
            <v>60400-61031-00</v>
          </cell>
          <cell r="F3049">
            <v>68176.03</v>
          </cell>
        </row>
        <row r="3050">
          <cell r="A3050" t="str">
            <v>60400-62030-00</v>
          </cell>
          <cell r="F3050">
            <v>23212.62</v>
          </cell>
        </row>
        <row r="3051">
          <cell r="A3051" t="str">
            <v>60400-62032-00</v>
          </cell>
          <cell r="F3051">
            <v>0</v>
          </cell>
        </row>
        <row r="3052">
          <cell r="A3052" t="str">
            <v>60400-63030-00</v>
          </cell>
          <cell r="F3052">
            <v>30898.44</v>
          </cell>
        </row>
        <row r="3053">
          <cell r="A3053" t="str">
            <v>60400-63032-00</v>
          </cell>
          <cell r="F3053">
            <v>-3850.19</v>
          </cell>
        </row>
        <row r="3054">
          <cell r="A3054" t="str">
            <v>60400-64032-00</v>
          </cell>
          <cell r="F3054">
            <v>0</v>
          </cell>
        </row>
        <row r="3055">
          <cell r="A3055" t="str">
            <v>60400-81001-00</v>
          </cell>
          <cell r="F3055">
            <v>325760.17</v>
          </cell>
        </row>
        <row r="3056">
          <cell r="A3056" t="str">
            <v>60400-81005-00</v>
          </cell>
          <cell r="F3056">
            <v>0</v>
          </cell>
        </row>
        <row r="3057">
          <cell r="A3057" t="str">
            <v>60400-83001-00</v>
          </cell>
          <cell r="F3057">
            <v>181735.85</v>
          </cell>
        </row>
        <row r="3058">
          <cell r="A3058" t="str">
            <v>60400-84001-00</v>
          </cell>
          <cell r="F3058">
            <v>48023.56</v>
          </cell>
        </row>
        <row r="3059">
          <cell r="A3059" t="str">
            <v>60400-85001-00</v>
          </cell>
          <cell r="F3059">
            <v>12160.49</v>
          </cell>
        </row>
        <row r="3060">
          <cell r="A3060" t="str">
            <v>60410-00000-00</v>
          </cell>
          <cell r="F3060">
            <v>0</v>
          </cell>
        </row>
        <row r="3061">
          <cell r="A3061" t="str">
            <v>60410-11001-00</v>
          </cell>
          <cell r="F3061">
            <v>0</v>
          </cell>
        </row>
        <row r="3062">
          <cell r="A3062" t="str">
            <v>60410-11005-00</v>
          </cell>
          <cell r="F3062">
            <v>0</v>
          </cell>
        </row>
        <row r="3063">
          <cell r="A3063" t="str">
            <v>60410-13006-00</v>
          </cell>
          <cell r="F3063">
            <v>0</v>
          </cell>
        </row>
        <row r="3064">
          <cell r="A3064" t="str">
            <v>60410-13007-00</v>
          </cell>
          <cell r="F3064">
            <v>0</v>
          </cell>
        </row>
        <row r="3065">
          <cell r="A3065" t="str">
            <v>60410-15001-00</v>
          </cell>
          <cell r="F3065">
            <v>0</v>
          </cell>
        </row>
        <row r="3066">
          <cell r="A3066" t="str">
            <v>60410-15005-00</v>
          </cell>
          <cell r="F3066">
            <v>0</v>
          </cell>
        </row>
        <row r="3067">
          <cell r="A3067" t="str">
            <v>60410-31000-00</v>
          </cell>
          <cell r="F3067">
            <v>0</v>
          </cell>
        </row>
        <row r="3068">
          <cell r="A3068" t="str">
            <v>60410-31001-00</v>
          </cell>
          <cell r="F3068">
            <v>0</v>
          </cell>
        </row>
        <row r="3069">
          <cell r="A3069" t="str">
            <v>60410-41001-00</v>
          </cell>
          <cell r="F3069">
            <v>0</v>
          </cell>
        </row>
        <row r="3070">
          <cell r="A3070" t="str">
            <v>60410-41002-00</v>
          </cell>
          <cell r="F3070">
            <v>0</v>
          </cell>
        </row>
        <row r="3071">
          <cell r="A3071" t="str">
            <v>60410-41003-00</v>
          </cell>
          <cell r="F3071">
            <v>100.61</v>
          </cell>
        </row>
        <row r="3072">
          <cell r="A3072" t="str">
            <v>60410-41004-00</v>
          </cell>
          <cell r="F3072">
            <v>0</v>
          </cell>
        </row>
        <row r="3073">
          <cell r="A3073" t="str">
            <v>60410-41005-00</v>
          </cell>
          <cell r="F3073">
            <v>0</v>
          </cell>
        </row>
        <row r="3074">
          <cell r="A3074" t="str">
            <v>60410-41009-00</v>
          </cell>
          <cell r="F3074">
            <v>0</v>
          </cell>
        </row>
        <row r="3075">
          <cell r="A3075" t="str">
            <v>60410-41029-00</v>
          </cell>
          <cell r="F3075">
            <v>0</v>
          </cell>
        </row>
        <row r="3076">
          <cell r="A3076" t="str">
            <v>60410-41030-00</v>
          </cell>
          <cell r="F3076">
            <v>261</v>
          </cell>
        </row>
        <row r="3077">
          <cell r="A3077" t="str">
            <v>60410-41031-00</v>
          </cell>
          <cell r="F3077">
            <v>0</v>
          </cell>
        </row>
        <row r="3078">
          <cell r="A3078" t="str">
            <v>60410-41032-00</v>
          </cell>
          <cell r="F3078">
            <v>0</v>
          </cell>
        </row>
        <row r="3079">
          <cell r="A3079" t="str">
            <v>60410-41041-00</v>
          </cell>
          <cell r="F3079">
            <v>0</v>
          </cell>
        </row>
        <row r="3080">
          <cell r="A3080" t="str">
            <v>60410-41049-00</v>
          </cell>
          <cell r="F3080">
            <v>0</v>
          </cell>
        </row>
        <row r="3081">
          <cell r="A3081" t="str">
            <v>60410-41052-00</v>
          </cell>
          <cell r="F3081">
            <v>0</v>
          </cell>
        </row>
        <row r="3082">
          <cell r="A3082" t="str">
            <v>60410-43001-00</v>
          </cell>
          <cell r="F3082">
            <v>0</v>
          </cell>
        </row>
        <row r="3083">
          <cell r="A3083" t="str">
            <v>60410-43002-00</v>
          </cell>
          <cell r="F3083">
            <v>0</v>
          </cell>
        </row>
        <row r="3084">
          <cell r="A3084" t="str">
            <v>60410-43003-00</v>
          </cell>
          <cell r="F3084">
            <v>0</v>
          </cell>
        </row>
        <row r="3085">
          <cell r="A3085" t="str">
            <v>60410-43005-00</v>
          </cell>
          <cell r="F3085">
            <v>0</v>
          </cell>
        </row>
        <row r="3086">
          <cell r="A3086" t="str">
            <v>60410-43009-00</v>
          </cell>
          <cell r="F3086">
            <v>0</v>
          </cell>
        </row>
        <row r="3087">
          <cell r="A3087" t="str">
            <v>60410-43029-00</v>
          </cell>
          <cell r="F3087">
            <v>0</v>
          </cell>
        </row>
        <row r="3088">
          <cell r="A3088" t="str">
            <v>60410-43030-00</v>
          </cell>
          <cell r="F3088">
            <v>366.75</v>
          </cell>
        </row>
        <row r="3089">
          <cell r="A3089" t="str">
            <v>60410-43031-00</v>
          </cell>
          <cell r="F3089">
            <v>0</v>
          </cell>
        </row>
        <row r="3090">
          <cell r="A3090" t="str">
            <v>60410-43032-00</v>
          </cell>
          <cell r="F3090">
            <v>0</v>
          </cell>
        </row>
        <row r="3091">
          <cell r="A3091" t="str">
            <v>60410-43041-00</v>
          </cell>
          <cell r="F3091">
            <v>0</v>
          </cell>
        </row>
        <row r="3092">
          <cell r="A3092" t="str">
            <v>60410-43052-00</v>
          </cell>
          <cell r="F3092">
            <v>0</v>
          </cell>
        </row>
        <row r="3093">
          <cell r="A3093" t="str">
            <v>60410-45001-00</v>
          </cell>
          <cell r="F3093">
            <v>0</v>
          </cell>
        </row>
        <row r="3094">
          <cell r="A3094" t="str">
            <v>60410-45002-00</v>
          </cell>
          <cell r="F3094">
            <v>234.46</v>
          </cell>
        </row>
        <row r="3095">
          <cell r="A3095" t="str">
            <v>60410-45003-00</v>
          </cell>
          <cell r="F3095">
            <v>0</v>
          </cell>
        </row>
        <row r="3096">
          <cell r="A3096" t="str">
            <v>60410-45005-00</v>
          </cell>
          <cell r="F3096">
            <v>0</v>
          </cell>
        </row>
        <row r="3097">
          <cell r="A3097" t="str">
            <v>60410-45009-00</v>
          </cell>
          <cell r="F3097">
            <v>0</v>
          </cell>
        </row>
        <row r="3098">
          <cell r="A3098" t="str">
            <v>60410-45029-00</v>
          </cell>
          <cell r="F3098">
            <v>0</v>
          </cell>
        </row>
        <row r="3099">
          <cell r="A3099" t="str">
            <v>60410-45030-00</v>
          </cell>
          <cell r="F3099">
            <v>0</v>
          </cell>
        </row>
        <row r="3100">
          <cell r="A3100" t="str">
            <v>60410-45031-00</v>
          </cell>
          <cell r="F3100">
            <v>0</v>
          </cell>
        </row>
        <row r="3101">
          <cell r="A3101" t="str">
            <v>60410-45032-00</v>
          </cell>
          <cell r="F3101">
            <v>0</v>
          </cell>
        </row>
        <row r="3102">
          <cell r="A3102" t="str">
            <v>60410-45052-00</v>
          </cell>
          <cell r="F3102">
            <v>0</v>
          </cell>
        </row>
        <row r="3103">
          <cell r="A3103" t="str">
            <v>60410-51001-00</v>
          </cell>
          <cell r="F3103">
            <v>0</v>
          </cell>
        </row>
        <row r="3104">
          <cell r="A3104" t="str">
            <v>60410-51005-00</v>
          </cell>
          <cell r="F3104">
            <v>0</v>
          </cell>
        </row>
        <row r="3105">
          <cell r="A3105" t="str">
            <v>60410-53001-00</v>
          </cell>
          <cell r="F3105">
            <v>0</v>
          </cell>
        </row>
        <row r="3106">
          <cell r="A3106" t="str">
            <v>60410-61030-00</v>
          </cell>
          <cell r="F3106">
            <v>0</v>
          </cell>
        </row>
        <row r="3107">
          <cell r="A3107" t="str">
            <v>60410-61031-00</v>
          </cell>
          <cell r="F3107">
            <v>0</v>
          </cell>
        </row>
        <row r="3108">
          <cell r="A3108" t="str">
            <v>60410-62030-00</v>
          </cell>
          <cell r="F3108">
            <v>0</v>
          </cell>
        </row>
        <row r="3109">
          <cell r="A3109" t="str">
            <v>60410-62032-00</v>
          </cell>
          <cell r="F3109">
            <v>0</v>
          </cell>
        </row>
        <row r="3110">
          <cell r="A3110" t="str">
            <v>60410-63030-00</v>
          </cell>
          <cell r="F3110">
            <v>0</v>
          </cell>
        </row>
        <row r="3111">
          <cell r="A3111" t="str">
            <v>60410-63032-00</v>
          </cell>
          <cell r="F3111">
            <v>0</v>
          </cell>
        </row>
        <row r="3112">
          <cell r="A3112" t="str">
            <v>60410-64032-00</v>
          </cell>
          <cell r="F3112">
            <v>0</v>
          </cell>
        </row>
        <row r="3113">
          <cell r="A3113" t="str">
            <v>60410-81001-00</v>
          </cell>
          <cell r="F3113">
            <v>0</v>
          </cell>
        </row>
        <row r="3114">
          <cell r="A3114" t="str">
            <v>60410-81005-00</v>
          </cell>
          <cell r="F3114">
            <v>0</v>
          </cell>
        </row>
        <row r="3115">
          <cell r="A3115" t="str">
            <v>60410-83001-00</v>
          </cell>
          <cell r="F3115">
            <v>0</v>
          </cell>
        </row>
        <row r="3116">
          <cell r="A3116" t="str">
            <v>60410-84001-00</v>
          </cell>
          <cell r="F3116">
            <v>0</v>
          </cell>
        </row>
        <row r="3117">
          <cell r="A3117" t="str">
            <v>60410-85001-00</v>
          </cell>
          <cell r="F3117">
            <v>0</v>
          </cell>
        </row>
        <row r="3118">
          <cell r="A3118" t="str">
            <v>60450-00000-00</v>
          </cell>
          <cell r="F3118">
            <v>0</v>
          </cell>
        </row>
        <row r="3119">
          <cell r="A3119" t="str">
            <v>60450-11001-00</v>
          </cell>
          <cell r="F3119">
            <v>6391.07</v>
          </cell>
        </row>
        <row r="3120">
          <cell r="A3120" t="str">
            <v>60450-11005-00</v>
          </cell>
          <cell r="F3120">
            <v>0</v>
          </cell>
        </row>
        <row r="3121">
          <cell r="A3121" t="str">
            <v>60450-13006-00</v>
          </cell>
          <cell r="F3121">
            <v>0</v>
          </cell>
        </row>
        <row r="3122">
          <cell r="A3122" t="str">
            <v>60450-13007-00</v>
          </cell>
          <cell r="F3122">
            <v>0</v>
          </cell>
        </row>
        <row r="3123">
          <cell r="A3123" t="str">
            <v>60450-14001-00</v>
          </cell>
          <cell r="F3123">
            <v>252.38</v>
          </cell>
        </row>
        <row r="3124">
          <cell r="A3124" t="str">
            <v>60450-15001-00</v>
          </cell>
          <cell r="F3124">
            <v>14239.48</v>
          </cell>
        </row>
        <row r="3125">
          <cell r="A3125" t="str">
            <v>60450-15005-00</v>
          </cell>
          <cell r="F3125">
            <v>0</v>
          </cell>
        </row>
        <row r="3126">
          <cell r="A3126" t="str">
            <v>60450-31000-00</v>
          </cell>
          <cell r="F3126">
            <v>0</v>
          </cell>
        </row>
        <row r="3127">
          <cell r="A3127" t="str">
            <v>60450-31001-00</v>
          </cell>
          <cell r="F3127">
            <v>100</v>
          </cell>
        </row>
        <row r="3128">
          <cell r="A3128" t="str">
            <v>60450-31022-00</v>
          </cell>
          <cell r="F3128">
            <v>0</v>
          </cell>
        </row>
        <row r="3129">
          <cell r="A3129" t="str">
            <v>60450-31072-00</v>
          </cell>
          <cell r="F3129">
            <v>0</v>
          </cell>
        </row>
        <row r="3130">
          <cell r="A3130" t="str">
            <v>60450-41001-00</v>
          </cell>
          <cell r="F3130">
            <v>40803.089999999997</v>
          </cell>
        </row>
        <row r="3131">
          <cell r="A3131" t="str">
            <v>60450-41002-00</v>
          </cell>
          <cell r="F3131">
            <v>12557.91</v>
          </cell>
        </row>
        <row r="3132">
          <cell r="A3132" t="str">
            <v>60450-41003-00</v>
          </cell>
          <cell r="F3132">
            <v>19329.439999999999</v>
          </cell>
        </row>
        <row r="3133">
          <cell r="A3133" t="str">
            <v>60450-41004-00</v>
          </cell>
          <cell r="F3133">
            <v>10269.82</v>
          </cell>
        </row>
        <row r="3134">
          <cell r="A3134" t="str">
            <v>60450-41005-00</v>
          </cell>
          <cell r="F3134">
            <v>15032.91</v>
          </cell>
        </row>
        <row r="3135">
          <cell r="A3135" t="str">
            <v>60450-41009-00</v>
          </cell>
          <cell r="F3135">
            <v>4965.2</v>
          </cell>
        </row>
        <row r="3136">
          <cell r="A3136" t="str">
            <v>60450-41029-00</v>
          </cell>
          <cell r="F3136">
            <v>2205.1799999999998</v>
          </cell>
        </row>
        <row r="3137">
          <cell r="A3137" t="str">
            <v>60450-41030-00</v>
          </cell>
          <cell r="F3137">
            <v>1767.02</v>
          </cell>
        </row>
        <row r="3138">
          <cell r="A3138" t="str">
            <v>60450-41031-00</v>
          </cell>
          <cell r="F3138">
            <v>10402.69</v>
          </cell>
        </row>
        <row r="3139">
          <cell r="A3139" t="str">
            <v>60450-41032-00</v>
          </cell>
          <cell r="F3139">
            <v>31.33</v>
          </cell>
        </row>
        <row r="3140">
          <cell r="A3140" t="str">
            <v>60450-41041-00</v>
          </cell>
          <cell r="F3140">
            <v>4804.47</v>
          </cell>
        </row>
        <row r="3141">
          <cell r="A3141" t="str">
            <v>60450-41049-00</v>
          </cell>
          <cell r="F3141">
            <v>1074.4000000000001</v>
          </cell>
        </row>
        <row r="3142">
          <cell r="A3142" t="str">
            <v>60450-41052-00</v>
          </cell>
          <cell r="F3142">
            <v>0</v>
          </cell>
        </row>
        <row r="3143">
          <cell r="A3143" t="str">
            <v>60450-43001-00</v>
          </cell>
          <cell r="F3143">
            <v>1130.92</v>
          </cell>
        </row>
        <row r="3144">
          <cell r="A3144" t="str">
            <v>60450-43002-00</v>
          </cell>
          <cell r="F3144">
            <v>0</v>
          </cell>
        </row>
        <row r="3145">
          <cell r="A3145" t="str">
            <v>60450-43003-00</v>
          </cell>
          <cell r="F3145">
            <v>50</v>
          </cell>
        </row>
        <row r="3146">
          <cell r="A3146" t="str">
            <v>60450-43005-00</v>
          </cell>
          <cell r="F3146">
            <v>15207.25</v>
          </cell>
        </row>
        <row r="3147">
          <cell r="A3147" t="str">
            <v>60450-43009-00</v>
          </cell>
          <cell r="F3147">
            <v>1269</v>
          </cell>
        </row>
        <row r="3148">
          <cell r="A3148" t="str">
            <v>60450-43029-00</v>
          </cell>
          <cell r="F3148">
            <v>175.45</v>
          </cell>
        </row>
        <row r="3149">
          <cell r="A3149" t="str">
            <v>60450-43030-00</v>
          </cell>
          <cell r="F3149">
            <v>11640.02</v>
          </cell>
        </row>
        <row r="3150">
          <cell r="A3150" t="str">
            <v>60450-43031-00</v>
          </cell>
          <cell r="F3150">
            <v>2675.63</v>
          </cell>
        </row>
        <row r="3151">
          <cell r="A3151" t="str">
            <v>60450-43032-00</v>
          </cell>
          <cell r="F3151">
            <v>10027.629999999999</v>
          </cell>
        </row>
        <row r="3152">
          <cell r="A3152" t="str">
            <v>60450-43041-00</v>
          </cell>
          <cell r="F3152">
            <v>3497.88</v>
          </cell>
        </row>
        <row r="3153">
          <cell r="A3153" t="str">
            <v>60450-43052-00</v>
          </cell>
          <cell r="F3153">
            <v>0</v>
          </cell>
        </row>
        <row r="3154">
          <cell r="A3154" t="str">
            <v>60450-45001-00</v>
          </cell>
          <cell r="F3154">
            <v>7120.72</v>
          </cell>
        </row>
        <row r="3155">
          <cell r="A3155" t="str">
            <v>60450-45002-00</v>
          </cell>
          <cell r="F3155">
            <v>3710</v>
          </cell>
        </row>
        <row r="3156">
          <cell r="A3156" t="str">
            <v>60450-45003-00</v>
          </cell>
          <cell r="F3156">
            <v>0</v>
          </cell>
        </row>
        <row r="3157">
          <cell r="A3157" t="str">
            <v>60450-45005-00</v>
          </cell>
          <cell r="F3157">
            <v>3713.75</v>
          </cell>
        </row>
        <row r="3158">
          <cell r="A3158" t="str">
            <v>60450-45009-00</v>
          </cell>
          <cell r="F3158">
            <v>0</v>
          </cell>
        </row>
        <row r="3159">
          <cell r="A3159" t="str">
            <v>60450-45029-00</v>
          </cell>
          <cell r="F3159">
            <v>602.70000000000005</v>
          </cell>
        </row>
        <row r="3160">
          <cell r="A3160" t="str">
            <v>60450-45030-00</v>
          </cell>
          <cell r="F3160">
            <v>2067.4699999999998</v>
          </cell>
        </row>
        <row r="3161">
          <cell r="A3161" t="str">
            <v>60450-45031-00</v>
          </cell>
          <cell r="F3161">
            <v>991.5</v>
          </cell>
        </row>
        <row r="3162">
          <cell r="A3162" t="str">
            <v>60450-45032-00</v>
          </cell>
          <cell r="F3162">
            <v>937.72</v>
          </cell>
        </row>
        <row r="3163">
          <cell r="A3163" t="str">
            <v>60450-45052-00</v>
          </cell>
          <cell r="F3163">
            <v>0</v>
          </cell>
        </row>
        <row r="3164">
          <cell r="A3164" t="str">
            <v>60450-51001-00</v>
          </cell>
          <cell r="F3164">
            <v>289.95</v>
          </cell>
        </row>
        <row r="3165">
          <cell r="A3165" t="str">
            <v>60450-51005-00</v>
          </cell>
          <cell r="F3165">
            <v>0</v>
          </cell>
        </row>
        <row r="3166">
          <cell r="A3166" t="str">
            <v>60450-53001-00</v>
          </cell>
          <cell r="F3166">
            <v>0</v>
          </cell>
        </row>
        <row r="3167">
          <cell r="A3167" t="str">
            <v>60450-61030-00</v>
          </cell>
          <cell r="F3167">
            <v>3672.02</v>
          </cell>
        </row>
        <row r="3168">
          <cell r="A3168" t="str">
            <v>60450-61031-00</v>
          </cell>
          <cell r="F3168">
            <v>25663.13</v>
          </cell>
        </row>
        <row r="3169">
          <cell r="A3169" t="str">
            <v>60450-62030-00</v>
          </cell>
          <cell r="F3169">
            <v>14177.02</v>
          </cell>
        </row>
        <row r="3170">
          <cell r="A3170" t="str">
            <v>60450-62032-00</v>
          </cell>
          <cell r="F3170">
            <v>1345.45</v>
          </cell>
        </row>
        <row r="3171">
          <cell r="A3171" t="str">
            <v>60450-63030-00</v>
          </cell>
          <cell r="F3171">
            <v>5415.05</v>
          </cell>
        </row>
        <row r="3172">
          <cell r="A3172" t="str">
            <v>60450-63032-00</v>
          </cell>
          <cell r="F3172">
            <v>2979.08</v>
          </cell>
        </row>
        <row r="3173">
          <cell r="A3173" t="str">
            <v>60450-64032-00</v>
          </cell>
          <cell r="F3173">
            <v>0</v>
          </cell>
        </row>
        <row r="3174">
          <cell r="A3174" t="str">
            <v>60450-81001-00</v>
          </cell>
          <cell r="F3174">
            <v>183.75</v>
          </cell>
        </row>
        <row r="3175">
          <cell r="A3175" t="str">
            <v>60450-81005-00</v>
          </cell>
          <cell r="F3175">
            <v>0</v>
          </cell>
        </row>
        <row r="3176">
          <cell r="A3176" t="str">
            <v>60450-83001-00</v>
          </cell>
          <cell r="F3176">
            <v>23548.05</v>
          </cell>
        </row>
        <row r="3177">
          <cell r="A3177" t="str">
            <v>60450-84001-00</v>
          </cell>
          <cell r="F3177">
            <v>0</v>
          </cell>
        </row>
        <row r="3178">
          <cell r="A3178" t="str">
            <v>60450-85001-00</v>
          </cell>
          <cell r="F3178">
            <v>0</v>
          </cell>
        </row>
        <row r="3179">
          <cell r="A3179" t="str">
            <v>60450-89001-00</v>
          </cell>
          <cell r="F3179">
            <v>0</v>
          </cell>
        </row>
        <row r="3180">
          <cell r="A3180" t="str">
            <v>60500-00000-00</v>
          </cell>
          <cell r="F3180">
            <v>0</v>
          </cell>
        </row>
        <row r="3181">
          <cell r="A3181" t="str">
            <v>60500-11001-00</v>
          </cell>
          <cell r="F3181">
            <v>3453.8</v>
          </cell>
        </row>
        <row r="3182">
          <cell r="A3182" t="str">
            <v>60500-31001-00</v>
          </cell>
          <cell r="F3182">
            <v>0</v>
          </cell>
        </row>
        <row r="3183">
          <cell r="A3183" t="str">
            <v>60500-41001-00</v>
          </cell>
          <cell r="F3183">
            <v>0</v>
          </cell>
        </row>
        <row r="3184">
          <cell r="A3184" t="str">
            <v>60500-41002-00</v>
          </cell>
          <cell r="F3184">
            <v>0</v>
          </cell>
        </row>
        <row r="3185">
          <cell r="A3185" t="str">
            <v>60500-41003-00</v>
          </cell>
          <cell r="F3185">
            <v>0</v>
          </cell>
        </row>
        <row r="3186">
          <cell r="A3186" t="str">
            <v>60500-41004-00</v>
          </cell>
          <cell r="F3186">
            <v>0</v>
          </cell>
        </row>
        <row r="3187">
          <cell r="A3187" t="str">
            <v>60500-41005-00</v>
          </cell>
          <cell r="F3187">
            <v>0</v>
          </cell>
        </row>
        <row r="3188">
          <cell r="A3188" t="str">
            <v>60500-41009-00</v>
          </cell>
          <cell r="F3188">
            <v>0</v>
          </cell>
        </row>
        <row r="3189">
          <cell r="A3189" t="str">
            <v>60500-41029-00</v>
          </cell>
          <cell r="F3189">
            <v>0</v>
          </cell>
        </row>
        <row r="3190">
          <cell r="A3190" t="str">
            <v>60500-41030-00</v>
          </cell>
          <cell r="F3190">
            <v>0</v>
          </cell>
        </row>
        <row r="3191">
          <cell r="A3191" t="str">
            <v>60500-41031-00</v>
          </cell>
          <cell r="F3191">
            <v>0</v>
          </cell>
        </row>
        <row r="3192">
          <cell r="A3192" t="str">
            <v>60500-41032-00</v>
          </cell>
          <cell r="F3192">
            <v>0</v>
          </cell>
        </row>
        <row r="3193">
          <cell r="A3193" t="str">
            <v>60500-41041-00</v>
          </cell>
          <cell r="F3193">
            <v>0</v>
          </cell>
        </row>
        <row r="3194">
          <cell r="A3194" t="str">
            <v>60500-41049-00</v>
          </cell>
          <cell r="F3194">
            <v>41.71</v>
          </cell>
        </row>
        <row r="3195">
          <cell r="A3195" t="str">
            <v>60500-41052-00</v>
          </cell>
          <cell r="F3195">
            <v>0</v>
          </cell>
        </row>
        <row r="3196">
          <cell r="A3196" t="str">
            <v>60500-43001-00</v>
          </cell>
          <cell r="F3196">
            <v>0</v>
          </cell>
        </row>
        <row r="3197">
          <cell r="A3197" t="str">
            <v>60500-43002-00</v>
          </cell>
          <cell r="F3197">
            <v>0</v>
          </cell>
        </row>
        <row r="3198">
          <cell r="A3198" t="str">
            <v>60500-43003-00</v>
          </cell>
          <cell r="F3198">
            <v>0</v>
          </cell>
        </row>
        <row r="3199">
          <cell r="A3199" t="str">
            <v>60500-43005-00</v>
          </cell>
          <cell r="F3199">
            <v>0</v>
          </cell>
        </row>
        <row r="3200">
          <cell r="A3200" t="str">
            <v>60500-43009-00</v>
          </cell>
          <cell r="F3200">
            <v>0</v>
          </cell>
        </row>
        <row r="3201">
          <cell r="A3201" t="str">
            <v>60500-43029-00</v>
          </cell>
          <cell r="F3201">
            <v>0</v>
          </cell>
        </row>
        <row r="3202">
          <cell r="A3202" t="str">
            <v>60500-43030-00</v>
          </cell>
          <cell r="F3202">
            <v>0</v>
          </cell>
        </row>
        <row r="3203">
          <cell r="A3203" t="str">
            <v>60500-43031-00</v>
          </cell>
          <cell r="F3203">
            <v>0</v>
          </cell>
        </row>
        <row r="3204">
          <cell r="A3204" t="str">
            <v>60500-43032-00</v>
          </cell>
          <cell r="F3204">
            <v>0</v>
          </cell>
        </row>
        <row r="3205">
          <cell r="A3205" t="str">
            <v>60500-43041-00</v>
          </cell>
          <cell r="F3205">
            <v>0</v>
          </cell>
        </row>
        <row r="3206">
          <cell r="A3206" t="str">
            <v>60500-43052-00</v>
          </cell>
          <cell r="F3206">
            <v>0</v>
          </cell>
        </row>
        <row r="3207">
          <cell r="A3207" t="str">
            <v>60500-45001-00</v>
          </cell>
          <cell r="F3207">
            <v>0</v>
          </cell>
        </row>
        <row r="3208">
          <cell r="A3208" t="str">
            <v>60500-45002-00</v>
          </cell>
          <cell r="F3208">
            <v>0</v>
          </cell>
        </row>
        <row r="3209">
          <cell r="A3209" t="str">
            <v>60500-45003-00</v>
          </cell>
          <cell r="F3209">
            <v>0</v>
          </cell>
        </row>
        <row r="3210">
          <cell r="A3210" t="str">
            <v>60500-45005-00</v>
          </cell>
          <cell r="F3210">
            <v>0</v>
          </cell>
        </row>
        <row r="3211">
          <cell r="A3211" t="str">
            <v>60500-45009-00</v>
          </cell>
          <cell r="F3211">
            <v>0</v>
          </cell>
        </row>
        <row r="3212">
          <cell r="A3212" t="str">
            <v>60500-45029-00</v>
          </cell>
          <cell r="F3212">
            <v>0</v>
          </cell>
        </row>
        <row r="3213">
          <cell r="A3213" t="str">
            <v>60500-45030-00</v>
          </cell>
          <cell r="F3213">
            <v>0</v>
          </cell>
        </row>
        <row r="3214">
          <cell r="A3214" t="str">
            <v>60500-45031-00</v>
          </cell>
          <cell r="F3214">
            <v>0</v>
          </cell>
        </row>
        <row r="3215">
          <cell r="A3215" t="str">
            <v>60500-45032-00</v>
          </cell>
          <cell r="F3215">
            <v>0</v>
          </cell>
        </row>
        <row r="3216">
          <cell r="A3216" t="str">
            <v>60500-45052-00</v>
          </cell>
          <cell r="F3216">
            <v>0</v>
          </cell>
        </row>
        <row r="3217">
          <cell r="A3217" t="str">
            <v>60500-51001-00</v>
          </cell>
          <cell r="F3217">
            <v>0</v>
          </cell>
        </row>
        <row r="3218">
          <cell r="A3218" t="str">
            <v>60500-61030-00</v>
          </cell>
          <cell r="F3218">
            <v>0</v>
          </cell>
        </row>
        <row r="3219">
          <cell r="A3219" t="str">
            <v>60500-61031-00</v>
          </cell>
          <cell r="F3219">
            <v>385.76</v>
          </cell>
        </row>
        <row r="3220">
          <cell r="A3220" t="str">
            <v>60500-62030-00</v>
          </cell>
          <cell r="F3220">
            <v>0</v>
          </cell>
        </row>
        <row r="3221">
          <cell r="A3221" t="str">
            <v>60500-62032-00</v>
          </cell>
          <cell r="F3221">
            <v>0</v>
          </cell>
        </row>
        <row r="3222">
          <cell r="A3222" t="str">
            <v>60500-63030-00</v>
          </cell>
          <cell r="F3222">
            <v>0</v>
          </cell>
        </row>
        <row r="3223">
          <cell r="A3223" t="str">
            <v>60500-63032-00</v>
          </cell>
          <cell r="F3223">
            <v>0</v>
          </cell>
        </row>
        <row r="3224">
          <cell r="A3224" t="str">
            <v>60500-64032-00</v>
          </cell>
          <cell r="F3224">
            <v>0</v>
          </cell>
        </row>
        <row r="3225">
          <cell r="A3225" t="str">
            <v>60500-83001-00</v>
          </cell>
          <cell r="F3225">
            <v>91226.03</v>
          </cell>
        </row>
        <row r="3226">
          <cell r="A3226" t="str">
            <v>60500-84001-00</v>
          </cell>
          <cell r="F3226">
            <v>6.95</v>
          </cell>
        </row>
        <row r="3227">
          <cell r="A3227" t="str">
            <v>60500-89001-00</v>
          </cell>
          <cell r="F3227">
            <v>0</v>
          </cell>
        </row>
        <row r="3228">
          <cell r="A3228" t="str">
            <v>60550-00000-00</v>
          </cell>
          <cell r="F3228">
            <v>0</v>
          </cell>
        </row>
        <row r="3229">
          <cell r="A3229" t="str">
            <v>60550-11001-00</v>
          </cell>
          <cell r="F3229">
            <v>0</v>
          </cell>
        </row>
        <row r="3230">
          <cell r="A3230" t="str">
            <v>60550-11005-00</v>
          </cell>
          <cell r="F3230">
            <v>0</v>
          </cell>
        </row>
        <row r="3231">
          <cell r="A3231" t="str">
            <v>60550-15001-00</v>
          </cell>
          <cell r="F3231">
            <v>-2400</v>
          </cell>
        </row>
        <row r="3232">
          <cell r="A3232" t="str">
            <v>60550-15005-00</v>
          </cell>
          <cell r="F3232">
            <v>0</v>
          </cell>
        </row>
        <row r="3233">
          <cell r="A3233" t="str">
            <v>60550-31000-00</v>
          </cell>
          <cell r="F3233">
            <v>0</v>
          </cell>
        </row>
        <row r="3234">
          <cell r="A3234" t="str">
            <v>60550-31001-00</v>
          </cell>
          <cell r="F3234">
            <v>0</v>
          </cell>
        </row>
        <row r="3235">
          <cell r="A3235" t="str">
            <v>60550-31010-00</v>
          </cell>
          <cell r="F3235">
            <v>15538.88</v>
          </cell>
        </row>
        <row r="3236">
          <cell r="A3236" t="str">
            <v>60550-31011-00</v>
          </cell>
          <cell r="F3236">
            <v>13978.55</v>
          </cell>
        </row>
        <row r="3237">
          <cell r="A3237" t="str">
            <v>60550-31012-00</v>
          </cell>
          <cell r="F3237">
            <v>1596.94</v>
          </cell>
        </row>
        <row r="3238">
          <cell r="A3238" t="str">
            <v>60550-31015-00</v>
          </cell>
          <cell r="F3238">
            <v>0</v>
          </cell>
        </row>
        <row r="3239">
          <cell r="A3239" t="str">
            <v>60550-31016-00</v>
          </cell>
          <cell r="F3239">
            <v>0</v>
          </cell>
        </row>
        <row r="3240">
          <cell r="A3240" t="str">
            <v>60550-31017-00</v>
          </cell>
          <cell r="F3240">
            <v>0</v>
          </cell>
        </row>
        <row r="3241">
          <cell r="A3241" t="str">
            <v>60550-31018-00</v>
          </cell>
          <cell r="F3241">
            <v>2090.08</v>
          </cell>
        </row>
        <row r="3242">
          <cell r="A3242" t="str">
            <v>60550-31019-00</v>
          </cell>
          <cell r="F3242">
            <v>1670.06</v>
          </cell>
        </row>
        <row r="3243">
          <cell r="A3243" t="str">
            <v>60550-31023-00</v>
          </cell>
          <cell r="F3243">
            <v>3430.18</v>
          </cell>
        </row>
        <row r="3244">
          <cell r="A3244" t="str">
            <v>60550-31027-00</v>
          </cell>
          <cell r="F3244">
            <v>0</v>
          </cell>
        </row>
        <row r="3245">
          <cell r="A3245" t="str">
            <v>60550-31028-00</v>
          </cell>
          <cell r="F3245">
            <v>33665.5</v>
          </cell>
        </row>
        <row r="3246">
          <cell r="A3246" t="str">
            <v>60550-31029-00</v>
          </cell>
          <cell r="F3246">
            <v>0</v>
          </cell>
        </row>
        <row r="3247">
          <cell r="A3247" t="str">
            <v>60550-31030-00</v>
          </cell>
          <cell r="F3247">
            <v>12652.28</v>
          </cell>
        </row>
        <row r="3248">
          <cell r="A3248" t="str">
            <v>60550-31031-00</v>
          </cell>
          <cell r="F3248">
            <v>1332.04</v>
          </cell>
        </row>
        <row r="3249">
          <cell r="A3249" t="str">
            <v>60550-31032-00</v>
          </cell>
          <cell r="F3249">
            <v>0</v>
          </cell>
        </row>
        <row r="3250">
          <cell r="A3250" t="str">
            <v>60550-31034-00</v>
          </cell>
          <cell r="F3250">
            <v>0</v>
          </cell>
        </row>
        <row r="3251">
          <cell r="A3251" t="str">
            <v>60550-31041-00</v>
          </cell>
          <cell r="F3251">
            <v>29279.87</v>
          </cell>
        </row>
        <row r="3252">
          <cell r="A3252" t="str">
            <v>60550-31043-00</v>
          </cell>
          <cell r="F3252">
            <v>9760.2900000000009</v>
          </cell>
        </row>
        <row r="3253">
          <cell r="A3253" t="str">
            <v>60550-31045-00</v>
          </cell>
          <cell r="F3253">
            <v>0</v>
          </cell>
        </row>
        <row r="3254">
          <cell r="A3254" t="str">
            <v>60550-31048-00</v>
          </cell>
          <cell r="F3254">
            <v>21862.61</v>
          </cell>
        </row>
        <row r="3255">
          <cell r="A3255" t="str">
            <v>60550-31049-00</v>
          </cell>
          <cell r="F3255">
            <v>0</v>
          </cell>
        </row>
        <row r="3256">
          <cell r="A3256" t="str">
            <v>60550-31053-00</v>
          </cell>
          <cell r="F3256">
            <v>0</v>
          </cell>
        </row>
        <row r="3257">
          <cell r="A3257" t="str">
            <v>60550-31054-00</v>
          </cell>
          <cell r="F3257">
            <v>0</v>
          </cell>
        </row>
        <row r="3258">
          <cell r="A3258" t="str">
            <v>60550-31055-00</v>
          </cell>
          <cell r="F3258">
            <v>1963.72</v>
          </cell>
        </row>
        <row r="3259">
          <cell r="A3259" t="str">
            <v>60550-31056-00</v>
          </cell>
          <cell r="F3259">
            <v>0</v>
          </cell>
        </row>
        <row r="3260">
          <cell r="A3260" t="str">
            <v>60550-31057-00</v>
          </cell>
          <cell r="F3260">
            <v>0</v>
          </cell>
        </row>
        <row r="3261">
          <cell r="A3261" t="str">
            <v>60550-31058-00</v>
          </cell>
          <cell r="F3261">
            <v>0</v>
          </cell>
        </row>
        <row r="3262">
          <cell r="A3262" t="str">
            <v>60550-31059-00</v>
          </cell>
          <cell r="F3262">
            <v>0</v>
          </cell>
        </row>
        <row r="3263">
          <cell r="A3263" t="str">
            <v>60550-31060-00</v>
          </cell>
          <cell r="F3263">
            <v>0</v>
          </cell>
        </row>
        <row r="3264">
          <cell r="A3264" t="str">
            <v>60550-31061-00</v>
          </cell>
          <cell r="F3264">
            <v>0</v>
          </cell>
        </row>
        <row r="3265">
          <cell r="A3265" t="str">
            <v>60550-31062-00</v>
          </cell>
          <cell r="F3265">
            <v>0</v>
          </cell>
        </row>
        <row r="3266">
          <cell r="A3266" t="str">
            <v>60550-31063-00</v>
          </cell>
          <cell r="F3266">
            <v>0</v>
          </cell>
        </row>
        <row r="3267">
          <cell r="A3267" t="str">
            <v>60550-31064-00</v>
          </cell>
          <cell r="F3267">
            <v>0</v>
          </cell>
        </row>
        <row r="3268">
          <cell r="A3268" t="str">
            <v>60550-31065-00</v>
          </cell>
          <cell r="F3268">
            <v>11369.73</v>
          </cell>
        </row>
        <row r="3269">
          <cell r="A3269" t="str">
            <v>60550-31066-00</v>
          </cell>
          <cell r="F3269">
            <v>0</v>
          </cell>
        </row>
        <row r="3270">
          <cell r="A3270" t="str">
            <v>60550-31067-00</v>
          </cell>
          <cell r="F3270">
            <v>1790.45</v>
          </cell>
        </row>
        <row r="3271">
          <cell r="A3271" t="str">
            <v>60550-31068-00</v>
          </cell>
          <cell r="F3271">
            <v>4895.18</v>
          </cell>
        </row>
        <row r="3272">
          <cell r="A3272" t="str">
            <v>60550-31069-00</v>
          </cell>
          <cell r="F3272">
            <v>17885.849999999999</v>
          </cell>
        </row>
        <row r="3273">
          <cell r="A3273" t="str">
            <v>60550-31070-00</v>
          </cell>
          <cell r="F3273">
            <v>14110.23</v>
          </cell>
        </row>
        <row r="3274">
          <cell r="A3274" t="str">
            <v>60550-31071-00</v>
          </cell>
          <cell r="F3274">
            <v>0</v>
          </cell>
        </row>
        <row r="3275">
          <cell r="A3275" t="str">
            <v>60550-31073-00</v>
          </cell>
          <cell r="F3275">
            <v>0</v>
          </cell>
        </row>
        <row r="3276">
          <cell r="A3276" t="str">
            <v>60550-31075-00</v>
          </cell>
          <cell r="F3276">
            <v>0</v>
          </cell>
        </row>
        <row r="3277">
          <cell r="A3277" t="str">
            <v>60550-31076-00</v>
          </cell>
          <cell r="F3277">
            <v>0</v>
          </cell>
        </row>
        <row r="3278">
          <cell r="A3278" t="str">
            <v>60550-31077-00</v>
          </cell>
          <cell r="F3278">
            <v>0</v>
          </cell>
        </row>
        <row r="3279">
          <cell r="A3279" t="str">
            <v>60550-31078-00</v>
          </cell>
          <cell r="F3279">
            <v>0</v>
          </cell>
        </row>
        <row r="3280">
          <cell r="A3280" t="str">
            <v>60550-41001-00</v>
          </cell>
          <cell r="F3280">
            <v>12831.98</v>
          </cell>
        </row>
        <row r="3281">
          <cell r="A3281" t="str">
            <v>60550-41002-00</v>
          </cell>
          <cell r="F3281">
            <v>0</v>
          </cell>
        </row>
        <row r="3282">
          <cell r="A3282" t="str">
            <v>60550-41003-00</v>
          </cell>
          <cell r="F3282">
            <v>0</v>
          </cell>
        </row>
        <row r="3283">
          <cell r="A3283" t="str">
            <v>60550-41004-00</v>
          </cell>
          <cell r="F3283">
            <v>0</v>
          </cell>
        </row>
        <row r="3284">
          <cell r="A3284" t="str">
            <v>60550-41005-00</v>
          </cell>
          <cell r="F3284">
            <v>100</v>
          </cell>
        </row>
        <row r="3285">
          <cell r="A3285" t="str">
            <v>60550-41009-00</v>
          </cell>
          <cell r="F3285">
            <v>0</v>
          </cell>
        </row>
        <row r="3286">
          <cell r="A3286" t="str">
            <v>60550-41029-00</v>
          </cell>
          <cell r="F3286">
            <v>0</v>
          </cell>
        </row>
        <row r="3287">
          <cell r="A3287" t="str">
            <v>60550-41030-00</v>
          </cell>
          <cell r="F3287">
            <v>0</v>
          </cell>
        </row>
        <row r="3288">
          <cell r="A3288" t="str">
            <v>60550-41031-00</v>
          </cell>
          <cell r="F3288">
            <v>0</v>
          </cell>
        </row>
        <row r="3289">
          <cell r="A3289" t="str">
            <v>60550-41032-00</v>
          </cell>
          <cell r="F3289">
            <v>0</v>
          </cell>
        </row>
        <row r="3290">
          <cell r="A3290" t="str">
            <v>60550-41041-00</v>
          </cell>
          <cell r="F3290">
            <v>0</v>
          </cell>
        </row>
        <row r="3291">
          <cell r="A3291" t="str">
            <v>60550-41049-00</v>
          </cell>
          <cell r="F3291">
            <v>0</v>
          </cell>
        </row>
        <row r="3292">
          <cell r="A3292" t="str">
            <v>60550-41052-00</v>
          </cell>
          <cell r="F3292">
            <v>0</v>
          </cell>
        </row>
        <row r="3293">
          <cell r="A3293" t="str">
            <v>60550-43001-00</v>
          </cell>
          <cell r="F3293">
            <v>0</v>
          </cell>
        </row>
        <row r="3294">
          <cell r="A3294" t="str">
            <v>60550-43002-00</v>
          </cell>
          <cell r="F3294">
            <v>0</v>
          </cell>
        </row>
        <row r="3295">
          <cell r="A3295" t="str">
            <v>60550-43003-00</v>
          </cell>
          <cell r="F3295">
            <v>0</v>
          </cell>
        </row>
        <row r="3296">
          <cell r="A3296" t="str">
            <v>60550-43005-00</v>
          </cell>
          <cell r="F3296">
            <v>0</v>
          </cell>
        </row>
        <row r="3297">
          <cell r="A3297" t="str">
            <v>60550-43009-00</v>
          </cell>
          <cell r="F3297">
            <v>0</v>
          </cell>
        </row>
        <row r="3298">
          <cell r="A3298" t="str">
            <v>60550-43029-00</v>
          </cell>
          <cell r="F3298">
            <v>0</v>
          </cell>
        </row>
        <row r="3299">
          <cell r="A3299" t="str">
            <v>60550-43030-00</v>
          </cell>
          <cell r="F3299">
            <v>90</v>
          </cell>
        </row>
        <row r="3300">
          <cell r="A3300" t="str">
            <v>60550-43031-00</v>
          </cell>
          <cell r="F3300">
            <v>0</v>
          </cell>
        </row>
        <row r="3301">
          <cell r="A3301" t="str">
            <v>60550-43032-00</v>
          </cell>
          <cell r="F3301">
            <v>0</v>
          </cell>
        </row>
        <row r="3302">
          <cell r="A3302" t="str">
            <v>60550-43041-00</v>
          </cell>
          <cell r="F3302">
            <v>0</v>
          </cell>
        </row>
        <row r="3303">
          <cell r="A3303" t="str">
            <v>60550-43052-00</v>
          </cell>
          <cell r="F3303">
            <v>0</v>
          </cell>
        </row>
        <row r="3304">
          <cell r="A3304" t="str">
            <v>60550-45001-00</v>
          </cell>
          <cell r="F3304">
            <v>0</v>
          </cell>
        </row>
        <row r="3305">
          <cell r="A3305" t="str">
            <v>60550-45002-00</v>
          </cell>
          <cell r="F3305">
            <v>0</v>
          </cell>
        </row>
        <row r="3306">
          <cell r="A3306" t="str">
            <v>60550-45003-00</v>
          </cell>
          <cell r="F3306">
            <v>0</v>
          </cell>
        </row>
        <row r="3307">
          <cell r="A3307" t="str">
            <v>60550-45005-00</v>
          </cell>
          <cell r="F3307">
            <v>0</v>
          </cell>
        </row>
        <row r="3308">
          <cell r="A3308" t="str">
            <v>60550-45009-00</v>
          </cell>
          <cell r="F3308">
            <v>0</v>
          </cell>
        </row>
        <row r="3309">
          <cell r="A3309" t="str">
            <v>60550-45029-00</v>
          </cell>
          <cell r="F3309">
            <v>0</v>
          </cell>
        </row>
        <row r="3310">
          <cell r="A3310" t="str">
            <v>60550-45030-00</v>
          </cell>
          <cell r="F3310">
            <v>0</v>
          </cell>
        </row>
        <row r="3311">
          <cell r="A3311" t="str">
            <v>60550-45031-00</v>
          </cell>
          <cell r="F3311">
            <v>0</v>
          </cell>
        </row>
        <row r="3312">
          <cell r="A3312" t="str">
            <v>60550-45032-00</v>
          </cell>
          <cell r="F3312">
            <v>0</v>
          </cell>
        </row>
        <row r="3313">
          <cell r="A3313" t="str">
            <v>60550-45052-00</v>
          </cell>
          <cell r="F3313">
            <v>0</v>
          </cell>
        </row>
        <row r="3314">
          <cell r="A3314" t="str">
            <v>60550-51001-00</v>
          </cell>
          <cell r="F3314">
            <v>0</v>
          </cell>
        </row>
        <row r="3315">
          <cell r="A3315" t="str">
            <v>60550-51005-00</v>
          </cell>
          <cell r="F3315">
            <v>0</v>
          </cell>
        </row>
        <row r="3316">
          <cell r="A3316" t="str">
            <v>60550-53001-00</v>
          </cell>
          <cell r="F3316">
            <v>0</v>
          </cell>
        </row>
        <row r="3317">
          <cell r="A3317" t="str">
            <v>60550-61030-00</v>
          </cell>
          <cell r="F3317">
            <v>0</v>
          </cell>
        </row>
        <row r="3318">
          <cell r="A3318" t="str">
            <v>60550-61031-00</v>
          </cell>
          <cell r="F3318">
            <v>0</v>
          </cell>
        </row>
        <row r="3319">
          <cell r="A3319" t="str">
            <v>60550-62030-00</v>
          </cell>
          <cell r="F3319">
            <v>0</v>
          </cell>
        </row>
        <row r="3320">
          <cell r="A3320" t="str">
            <v>60550-62032-00</v>
          </cell>
          <cell r="F3320">
            <v>0</v>
          </cell>
        </row>
        <row r="3321">
          <cell r="A3321" t="str">
            <v>60550-63030-00</v>
          </cell>
          <cell r="F3321">
            <v>768.72</v>
          </cell>
        </row>
        <row r="3322">
          <cell r="A3322" t="str">
            <v>60550-63032-00</v>
          </cell>
          <cell r="F3322">
            <v>244.52</v>
          </cell>
        </row>
        <row r="3323">
          <cell r="A3323" t="str">
            <v>60550-64032-00</v>
          </cell>
          <cell r="F3323">
            <v>0</v>
          </cell>
        </row>
        <row r="3324">
          <cell r="A3324" t="str">
            <v>60550-81001-00</v>
          </cell>
          <cell r="F3324">
            <v>0</v>
          </cell>
        </row>
        <row r="3325">
          <cell r="A3325" t="str">
            <v>60550-81005-00</v>
          </cell>
          <cell r="F3325">
            <v>0</v>
          </cell>
        </row>
        <row r="3326">
          <cell r="A3326" t="str">
            <v>60550-83001-00</v>
          </cell>
          <cell r="F3326">
            <v>248726.72</v>
          </cell>
        </row>
        <row r="3327">
          <cell r="A3327" t="str">
            <v>60550-85001-00</v>
          </cell>
          <cell r="F3327">
            <v>0</v>
          </cell>
        </row>
        <row r="3328">
          <cell r="A3328" t="str">
            <v>60600-00000-00</v>
          </cell>
          <cell r="F3328">
            <v>0</v>
          </cell>
        </row>
        <row r="3329">
          <cell r="A3329" t="str">
            <v>60600-11001-00</v>
          </cell>
          <cell r="F3329">
            <v>600</v>
          </cell>
        </row>
        <row r="3330">
          <cell r="A3330" t="str">
            <v>60600-11005-00</v>
          </cell>
          <cell r="F3330">
            <v>0</v>
          </cell>
        </row>
        <row r="3331">
          <cell r="A3331" t="str">
            <v>60600-13006-00</v>
          </cell>
          <cell r="F3331">
            <v>0</v>
          </cell>
        </row>
        <row r="3332">
          <cell r="A3332" t="str">
            <v>60600-13007-00</v>
          </cell>
          <cell r="F3332">
            <v>0</v>
          </cell>
        </row>
        <row r="3333">
          <cell r="A3333" t="str">
            <v>60600-15001-00</v>
          </cell>
          <cell r="F3333">
            <v>0</v>
          </cell>
        </row>
        <row r="3334">
          <cell r="A3334" t="str">
            <v>60600-15005-00</v>
          </cell>
          <cell r="F3334">
            <v>0</v>
          </cell>
        </row>
        <row r="3335">
          <cell r="A3335" t="str">
            <v>60600-31000-00</v>
          </cell>
          <cell r="F3335">
            <v>0</v>
          </cell>
        </row>
        <row r="3336">
          <cell r="A3336" t="str">
            <v>60600-31001-00</v>
          </cell>
          <cell r="F3336">
            <v>0</v>
          </cell>
        </row>
        <row r="3337">
          <cell r="A3337" t="str">
            <v>60600-41001-00</v>
          </cell>
          <cell r="F3337">
            <v>0</v>
          </cell>
        </row>
        <row r="3338">
          <cell r="A3338" t="str">
            <v>60600-41002-00</v>
          </cell>
          <cell r="F3338">
            <v>1240</v>
          </cell>
        </row>
        <row r="3339">
          <cell r="A3339" t="str">
            <v>60600-41003-00</v>
          </cell>
          <cell r="F3339">
            <v>0</v>
          </cell>
        </row>
        <row r="3340">
          <cell r="A3340" t="str">
            <v>60600-41004-00</v>
          </cell>
          <cell r="F3340">
            <v>0</v>
          </cell>
        </row>
        <row r="3341">
          <cell r="A3341" t="str">
            <v>60600-41005-00</v>
          </cell>
          <cell r="F3341">
            <v>1850</v>
          </cell>
        </row>
        <row r="3342">
          <cell r="A3342" t="str">
            <v>60600-41009-00</v>
          </cell>
          <cell r="F3342">
            <v>0</v>
          </cell>
        </row>
        <row r="3343">
          <cell r="A3343" t="str">
            <v>60600-41029-00</v>
          </cell>
          <cell r="F3343">
            <v>0</v>
          </cell>
        </row>
        <row r="3344">
          <cell r="A3344" t="str">
            <v>60600-41030-00</v>
          </cell>
          <cell r="F3344">
            <v>0</v>
          </cell>
        </row>
        <row r="3345">
          <cell r="A3345" t="str">
            <v>60600-41031-00</v>
          </cell>
          <cell r="F3345">
            <v>0</v>
          </cell>
        </row>
        <row r="3346">
          <cell r="A3346" t="str">
            <v>60600-41032-00</v>
          </cell>
          <cell r="F3346">
            <v>0</v>
          </cell>
        </row>
        <row r="3347">
          <cell r="A3347" t="str">
            <v>60600-41041-00</v>
          </cell>
          <cell r="F3347">
            <v>0</v>
          </cell>
        </row>
        <row r="3348">
          <cell r="A3348" t="str">
            <v>60600-41049-00</v>
          </cell>
          <cell r="F3348">
            <v>0</v>
          </cell>
        </row>
        <row r="3349">
          <cell r="A3349" t="str">
            <v>60600-41052-00</v>
          </cell>
          <cell r="F3349">
            <v>0</v>
          </cell>
        </row>
        <row r="3350">
          <cell r="A3350" t="str">
            <v>60600-43001-00</v>
          </cell>
          <cell r="F3350">
            <v>0</v>
          </cell>
        </row>
        <row r="3351">
          <cell r="A3351" t="str">
            <v>60600-43002-00</v>
          </cell>
          <cell r="F3351">
            <v>0</v>
          </cell>
        </row>
        <row r="3352">
          <cell r="A3352" t="str">
            <v>60600-43003-00</v>
          </cell>
          <cell r="F3352">
            <v>0</v>
          </cell>
        </row>
        <row r="3353">
          <cell r="A3353" t="str">
            <v>60600-43005-00</v>
          </cell>
          <cell r="F3353">
            <v>0</v>
          </cell>
        </row>
        <row r="3354">
          <cell r="A3354" t="str">
            <v>60600-43009-00</v>
          </cell>
          <cell r="F3354">
            <v>0</v>
          </cell>
        </row>
        <row r="3355">
          <cell r="A3355" t="str">
            <v>60600-43029-00</v>
          </cell>
          <cell r="F3355">
            <v>0</v>
          </cell>
        </row>
        <row r="3356">
          <cell r="A3356" t="str">
            <v>60600-43030-00</v>
          </cell>
          <cell r="F3356">
            <v>0</v>
          </cell>
        </row>
        <row r="3357">
          <cell r="A3357" t="str">
            <v>60600-43031-00</v>
          </cell>
          <cell r="F3357">
            <v>0</v>
          </cell>
        </row>
        <row r="3358">
          <cell r="A3358" t="str">
            <v>60600-43032-00</v>
          </cell>
          <cell r="F3358">
            <v>0</v>
          </cell>
        </row>
        <row r="3359">
          <cell r="A3359" t="str">
            <v>60600-43041-00</v>
          </cell>
          <cell r="F3359">
            <v>0</v>
          </cell>
        </row>
        <row r="3360">
          <cell r="A3360" t="str">
            <v>60600-43052-00</v>
          </cell>
          <cell r="F3360">
            <v>0</v>
          </cell>
        </row>
        <row r="3361">
          <cell r="A3361" t="str">
            <v>60600-45001-00</v>
          </cell>
          <cell r="F3361">
            <v>0</v>
          </cell>
        </row>
        <row r="3362">
          <cell r="A3362" t="str">
            <v>60600-45002-00</v>
          </cell>
          <cell r="F3362">
            <v>0</v>
          </cell>
        </row>
        <row r="3363">
          <cell r="A3363" t="str">
            <v>60600-45003-00</v>
          </cell>
          <cell r="F3363">
            <v>0</v>
          </cell>
        </row>
        <row r="3364">
          <cell r="A3364" t="str">
            <v>60600-45005-00</v>
          </cell>
          <cell r="F3364">
            <v>0</v>
          </cell>
        </row>
        <row r="3365">
          <cell r="A3365" t="str">
            <v>60600-45009-00</v>
          </cell>
          <cell r="F3365">
            <v>0</v>
          </cell>
        </row>
        <row r="3366">
          <cell r="A3366" t="str">
            <v>60600-45029-00</v>
          </cell>
          <cell r="F3366">
            <v>0</v>
          </cell>
        </row>
        <row r="3367">
          <cell r="A3367" t="str">
            <v>60600-45030-00</v>
          </cell>
          <cell r="F3367">
            <v>0</v>
          </cell>
        </row>
        <row r="3368">
          <cell r="A3368" t="str">
            <v>60600-45031-00</v>
          </cell>
          <cell r="F3368">
            <v>0</v>
          </cell>
        </row>
        <row r="3369">
          <cell r="A3369" t="str">
            <v>60600-45032-00</v>
          </cell>
          <cell r="F3369">
            <v>0</v>
          </cell>
        </row>
        <row r="3370">
          <cell r="A3370" t="str">
            <v>60600-45052-00</v>
          </cell>
          <cell r="F3370">
            <v>0</v>
          </cell>
        </row>
        <row r="3371">
          <cell r="A3371" t="str">
            <v>60600-51001-00</v>
          </cell>
          <cell r="F3371">
            <v>0</v>
          </cell>
        </row>
        <row r="3372">
          <cell r="A3372" t="str">
            <v>60600-51005-00</v>
          </cell>
          <cell r="F3372">
            <v>0</v>
          </cell>
        </row>
        <row r="3373">
          <cell r="A3373" t="str">
            <v>60600-53001-00</v>
          </cell>
          <cell r="F3373">
            <v>0</v>
          </cell>
        </row>
        <row r="3374">
          <cell r="A3374" t="str">
            <v>60600-61030-00</v>
          </cell>
          <cell r="F3374">
            <v>0</v>
          </cell>
        </row>
        <row r="3375">
          <cell r="A3375" t="str">
            <v>60600-61031-00</v>
          </cell>
          <cell r="F3375">
            <v>0</v>
          </cell>
        </row>
        <row r="3376">
          <cell r="A3376" t="str">
            <v>60600-62030-00</v>
          </cell>
          <cell r="F3376">
            <v>0</v>
          </cell>
        </row>
        <row r="3377">
          <cell r="A3377" t="str">
            <v>60600-62032-00</v>
          </cell>
          <cell r="F3377">
            <v>0</v>
          </cell>
        </row>
        <row r="3378">
          <cell r="A3378" t="str">
            <v>60600-63030-00</v>
          </cell>
          <cell r="F3378">
            <v>0</v>
          </cell>
        </row>
        <row r="3379">
          <cell r="A3379" t="str">
            <v>60600-63032-00</v>
          </cell>
          <cell r="F3379">
            <v>0</v>
          </cell>
        </row>
        <row r="3380">
          <cell r="A3380" t="str">
            <v>60600-64032-00</v>
          </cell>
          <cell r="F3380">
            <v>0</v>
          </cell>
        </row>
        <row r="3381">
          <cell r="A3381" t="str">
            <v>60600-81001-00</v>
          </cell>
          <cell r="F3381">
            <v>0</v>
          </cell>
        </row>
        <row r="3382">
          <cell r="A3382" t="str">
            <v>60600-81005-00</v>
          </cell>
          <cell r="F3382">
            <v>0</v>
          </cell>
        </row>
        <row r="3383">
          <cell r="A3383" t="str">
            <v>60600-83001-00</v>
          </cell>
          <cell r="F3383">
            <v>77.38</v>
          </cell>
        </row>
        <row r="3384">
          <cell r="A3384" t="str">
            <v>60600-84001-00</v>
          </cell>
          <cell r="F3384">
            <v>7734.32</v>
          </cell>
        </row>
        <row r="3385">
          <cell r="A3385" t="str">
            <v>60600-85001-00</v>
          </cell>
          <cell r="F3385">
            <v>0</v>
          </cell>
        </row>
        <row r="3386">
          <cell r="A3386" t="str">
            <v>60630-00000-00</v>
          </cell>
          <cell r="F3386">
            <v>0</v>
          </cell>
        </row>
        <row r="3387">
          <cell r="A3387" t="str">
            <v>60630-11001-00</v>
          </cell>
          <cell r="F3387">
            <v>3119.03</v>
          </cell>
        </row>
        <row r="3388">
          <cell r="A3388" t="str">
            <v>60630-15001-00</v>
          </cell>
          <cell r="F3388">
            <v>46.98</v>
          </cell>
        </row>
        <row r="3389">
          <cell r="A3389" t="str">
            <v>60630-31001-00</v>
          </cell>
          <cell r="F3389">
            <v>115</v>
          </cell>
        </row>
        <row r="3390">
          <cell r="A3390" t="str">
            <v>60630-41001-00</v>
          </cell>
          <cell r="F3390">
            <v>0</v>
          </cell>
        </row>
        <row r="3391">
          <cell r="A3391" t="str">
            <v>60630-41002-00</v>
          </cell>
          <cell r="F3391">
            <v>776.26</v>
          </cell>
        </row>
        <row r="3392">
          <cell r="A3392" t="str">
            <v>60630-41003-00</v>
          </cell>
          <cell r="F3392">
            <v>0</v>
          </cell>
        </row>
        <row r="3393">
          <cell r="A3393" t="str">
            <v>60630-41004-00</v>
          </cell>
          <cell r="F3393">
            <v>0</v>
          </cell>
        </row>
        <row r="3394">
          <cell r="A3394" t="str">
            <v>60630-41005-00</v>
          </cell>
          <cell r="F3394">
            <v>20</v>
          </cell>
        </row>
        <row r="3395">
          <cell r="A3395" t="str">
            <v>60630-41009-00</v>
          </cell>
          <cell r="F3395">
            <v>0</v>
          </cell>
        </row>
        <row r="3396">
          <cell r="A3396" t="str">
            <v>60630-41029-00</v>
          </cell>
          <cell r="F3396">
            <v>0</v>
          </cell>
        </row>
        <row r="3397">
          <cell r="A3397" t="str">
            <v>60630-41030-00</v>
          </cell>
          <cell r="F3397">
            <v>1177.76</v>
          </cell>
        </row>
        <row r="3398">
          <cell r="A3398" t="str">
            <v>60630-41031-00</v>
          </cell>
          <cell r="F3398">
            <v>0</v>
          </cell>
        </row>
        <row r="3399">
          <cell r="A3399" t="str">
            <v>60630-41032-00</v>
          </cell>
          <cell r="F3399">
            <v>0</v>
          </cell>
        </row>
        <row r="3400">
          <cell r="A3400" t="str">
            <v>60630-41041-00</v>
          </cell>
          <cell r="F3400">
            <v>0</v>
          </cell>
        </row>
        <row r="3401">
          <cell r="A3401" t="str">
            <v>60630-41049-00</v>
          </cell>
          <cell r="F3401">
            <v>0</v>
          </cell>
        </row>
        <row r="3402">
          <cell r="A3402" t="str">
            <v>60630-41052-00</v>
          </cell>
          <cell r="F3402">
            <v>0</v>
          </cell>
        </row>
        <row r="3403">
          <cell r="A3403" t="str">
            <v>60630-43001-00</v>
          </cell>
          <cell r="F3403">
            <v>0</v>
          </cell>
        </row>
        <row r="3404">
          <cell r="A3404" t="str">
            <v>60630-43002-00</v>
          </cell>
          <cell r="F3404">
            <v>0</v>
          </cell>
        </row>
        <row r="3405">
          <cell r="A3405" t="str">
            <v>60630-43003-00</v>
          </cell>
          <cell r="F3405">
            <v>0</v>
          </cell>
        </row>
        <row r="3406">
          <cell r="A3406" t="str">
            <v>60630-43005-00</v>
          </cell>
          <cell r="F3406">
            <v>0</v>
          </cell>
        </row>
        <row r="3407">
          <cell r="A3407" t="str">
            <v>60630-43009-00</v>
          </cell>
          <cell r="F3407">
            <v>0</v>
          </cell>
        </row>
        <row r="3408">
          <cell r="A3408" t="str">
            <v>60630-43029-00</v>
          </cell>
          <cell r="F3408">
            <v>0</v>
          </cell>
        </row>
        <row r="3409">
          <cell r="A3409" t="str">
            <v>60630-43030-00</v>
          </cell>
          <cell r="F3409">
            <v>855</v>
          </cell>
        </row>
        <row r="3410">
          <cell r="A3410" t="str">
            <v>60630-43031-00</v>
          </cell>
          <cell r="F3410">
            <v>0</v>
          </cell>
        </row>
        <row r="3411">
          <cell r="A3411" t="str">
            <v>60630-43032-00</v>
          </cell>
          <cell r="F3411">
            <v>0</v>
          </cell>
        </row>
        <row r="3412">
          <cell r="A3412" t="str">
            <v>60630-43052-00</v>
          </cell>
          <cell r="F3412">
            <v>0</v>
          </cell>
        </row>
        <row r="3413">
          <cell r="A3413" t="str">
            <v>60630-45001-00</v>
          </cell>
          <cell r="F3413">
            <v>0</v>
          </cell>
        </row>
        <row r="3414">
          <cell r="A3414" t="str">
            <v>60630-45002-00</v>
          </cell>
          <cell r="F3414">
            <v>548.04</v>
          </cell>
        </row>
        <row r="3415">
          <cell r="A3415" t="str">
            <v>60630-45003-00</v>
          </cell>
          <cell r="F3415">
            <v>0</v>
          </cell>
        </row>
        <row r="3416">
          <cell r="A3416" t="str">
            <v>60630-45005-00</v>
          </cell>
          <cell r="F3416">
            <v>420</v>
          </cell>
        </row>
        <row r="3417">
          <cell r="A3417" t="str">
            <v>60630-45009-00</v>
          </cell>
          <cell r="F3417">
            <v>0</v>
          </cell>
        </row>
        <row r="3418">
          <cell r="A3418" t="str">
            <v>60630-45029-00</v>
          </cell>
          <cell r="F3418">
            <v>0</v>
          </cell>
        </row>
        <row r="3419">
          <cell r="A3419" t="str">
            <v>60630-45030-00</v>
          </cell>
          <cell r="F3419">
            <v>0</v>
          </cell>
        </row>
        <row r="3420">
          <cell r="A3420" t="str">
            <v>60630-45031-00</v>
          </cell>
          <cell r="F3420">
            <v>0</v>
          </cell>
        </row>
        <row r="3421">
          <cell r="A3421" t="str">
            <v>60630-45032-00</v>
          </cell>
          <cell r="F3421">
            <v>0</v>
          </cell>
        </row>
        <row r="3422">
          <cell r="A3422" t="str">
            <v>60630-45052-00</v>
          </cell>
          <cell r="F3422">
            <v>0</v>
          </cell>
        </row>
        <row r="3423">
          <cell r="A3423" t="str">
            <v>60630-51001-00</v>
          </cell>
          <cell r="F3423">
            <v>567.76</v>
          </cell>
        </row>
        <row r="3424">
          <cell r="A3424" t="str">
            <v>60630-53001-00</v>
          </cell>
          <cell r="F3424">
            <v>0</v>
          </cell>
        </row>
        <row r="3425">
          <cell r="A3425" t="str">
            <v>60630-61030-00</v>
          </cell>
          <cell r="F3425">
            <v>0</v>
          </cell>
        </row>
        <row r="3426">
          <cell r="A3426" t="str">
            <v>60630-61031-00</v>
          </cell>
          <cell r="F3426">
            <v>0</v>
          </cell>
        </row>
        <row r="3427">
          <cell r="A3427" t="str">
            <v>60630-62030-00</v>
          </cell>
          <cell r="F3427">
            <v>0</v>
          </cell>
        </row>
        <row r="3428">
          <cell r="A3428" t="str">
            <v>60630-62032-00</v>
          </cell>
          <cell r="F3428">
            <v>0</v>
          </cell>
        </row>
        <row r="3429">
          <cell r="A3429" t="str">
            <v>60630-63030-00</v>
          </cell>
          <cell r="F3429">
            <v>0</v>
          </cell>
        </row>
        <row r="3430">
          <cell r="A3430" t="str">
            <v>60630-63032-00</v>
          </cell>
          <cell r="F3430">
            <v>0</v>
          </cell>
        </row>
        <row r="3431">
          <cell r="A3431" t="str">
            <v>60630-64032-00</v>
          </cell>
          <cell r="F3431">
            <v>0</v>
          </cell>
        </row>
        <row r="3432">
          <cell r="A3432" t="str">
            <v>60630-81001-00</v>
          </cell>
          <cell r="F3432">
            <v>55</v>
          </cell>
        </row>
        <row r="3433">
          <cell r="A3433" t="str">
            <v>60630-83001-00</v>
          </cell>
          <cell r="F3433">
            <v>2774.68</v>
          </cell>
        </row>
        <row r="3434">
          <cell r="A3434" t="str">
            <v>60630-84001-00</v>
          </cell>
          <cell r="F3434">
            <v>0</v>
          </cell>
        </row>
        <row r="3435">
          <cell r="A3435" t="str">
            <v>60630-85001-00</v>
          </cell>
          <cell r="F3435">
            <v>0</v>
          </cell>
        </row>
        <row r="3436">
          <cell r="A3436" t="str">
            <v>60640-00000-00</v>
          </cell>
          <cell r="F3436">
            <v>0</v>
          </cell>
        </row>
        <row r="3437">
          <cell r="A3437" t="str">
            <v>60640-11001-00</v>
          </cell>
          <cell r="F3437">
            <v>44069.98</v>
          </cell>
        </row>
        <row r="3438">
          <cell r="A3438" t="str">
            <v>60640-11005-00</v>
          </cell>
          <cell r="F3438">
            <v>0</v>
          </cell>
        </row>
        <row r="3439">
          <cell r="A3439" t="str">
            <v>60640-13006-00</v>
          </cell>
          <cell r="F3439">
            <v>0</v>
          </cell>
        </row>
        <row r="3440">
          <cell r="A3440" t="str">
            <v>60640-13007-00</v>
          </cell>
          <cell r="F3440">
            <v>0</v>
          </cell>
        </row>
        <row r="3441">
          <cell r="A3441" t="str">
            <v>60640-14001-00</v>
          </cell>
          <cell r="F3441">
            <v>7682.6</v>
          </cell>
        </row>
        <row r="3442">
          <cell r="A3442" t="str">
            <v>60640-15001-00</v>
          </cell>
          <cell r="F3442">
            <v>1368.5</v>
          </cell>
        </row>
        <row r="3443">
          <cell r="A3443" t="str">
            <v>60640-15005-00</v>
          </cell>
          <cell r="F3443">
            <v>0</v>
          </cell>
        </row>
        <row r="3444">
          <cell r="A3444" t="str">
            <v>60640-31000-00</v>
          </cell>
          <cell r="F3444">
            <v>0</v>
          </cell>
        </row>
        <row r="3445">
          <cell r="A3445" t="str">
            <v>60640-31001-00</v>
          </cell>
          <cell r="F3445">
            <v>3446.48</v>
          </cell>
        </row>
        <row r="3446">
          <cell r="A3446" t="str">
            <v>60640-31055-00</v>
          </cell>
          <cell r="F3446">
            <v>0</v>
          </cell>
        </row>
        <row r="3447">
          <cell r="A3447" t="str">
            <v>60640-41001-00</v>
          </cell>
          <cell r="F3447">
            <v>6583.35</v>
          </cell>
        </row>
        <row r="3448">
          <cell r="A3448" t="str">
            <v>60640-41002-00</v>
          </cell>
          <cell r="F3448">
            <v>6321.62</v>
          </cell>
        </row>
        <row r="3449">
          <cell r="A3449" t="str">
            <v>60640-41003-00</v>
          </cell>
          <cell r="F3449">
            <v>1476.51</v>
          </cell>
        </row>
        <row r="3450">
          <cell r="A3450" t="str">
            <v>60640-41004-00</v>
          </cell>
          <cell r="F3450">
            <v>123.2</v>
          </cell>
        </row>
        <row r="3451">
          <cell r="A3451" t="str">
            <v>60640-41005-00</v>
          </cell>
          <cell r="F3451">
            <v>851.91</v>
          </cell>
        </row>
        <row r="3452">
          <cell r="A3452" t="str">
            <v>60640-41009-00</v>
          </cell>
          <cell r="F3452">
            <v>339.5</v>
          </cell>
        </row>
        <row r="3453">
          <cell r="A3453" t="str">
            <v>60640-41029-00</v>
          </cell>
          <cell r="F3453">
            <v>1023.4</v>
          </cell>
        </row>
        <row r="3454">
          <cell r="A3454" t="str">
            <v>60640-41030-00</v>
          </cell>
          <cell r="F3454">
            <v>1849.4</v>
          </cell>
        </row>
        <row r="3455">
          <cell r="A3455" t="str">
            <v>60640-41031-00</v>
          </cell>
          <cell r="F3455">
            <v>0</v>
          </cell>
        </row>
        <row r="3456">
          <cell r="A3456" t="str">
            <v>60640-41032-00</v>
          </cell>
          <cell r="F3456">
            <v>0</v>
          </cell>
        </row>
        <row r="3457">
          <cell r="A3457" t="str">
            <v>60640-41041-00</v>
          </cell>
          <cell r="F3457">
            <v>861</v>
          </cell>
        </row>
        <row r="3458">
          <cell r="A3458" t="str">
            <v>60640-41049-00</v>
          </cell>
          <cell r="F3458">
            <v>1368.5</v>
          </cell>
        </row>
        <row r="3459">
          <cell r="A3459" t="str">
            <v>60640-41052-00</v>
          </cell>
          <cell r="F3459">
            <v>0</v>
          </cell>
        </row>
        <row r="3460">
          <cell r="A3460" t="str">
            <v>60640-43001-00</v>
          </cell>
          <cell r="F3460">
            <v>0</v>
          </cell>
        </row>
        <row r="3461">
          <cell r="A3461" t="str">
            <v>60640-43002-00</v>
          </cell>
          <cell r="F3461">
            <v>51.1</v>
          </cell>
        </row>
        <row r="3462">
          <cell r="A3462" t="str">
            <v>60640-43003-00</v>
          </cell>
          <cell r="F3462">
            <v>0</v>
          </cell>
        </row>
        <row r="3463">
          <cell r="A3463" t="str">
            <v>60640-43005-00</v>
          </cell>
          <cell r="F3463">
            <v>666.95</v>
          </cell>
        </row>
        <row r="3464">
          <cell r="A3464" t="str">
            <v>60640-43009-00</v>
          </cell>
          <cell r="F3464">
            <v>1814.56</v>
          </cell>
        </row>
        <row r="3465">
          <cell r="A3465" t="str">
            <v>60640-43029-00</v>
          </cell>
          <cell r="F3465">
            <v>0</v>
          </cell>
        </row>
        <row r="3466">
          <cell r="A3466" t="str">
            <v>60640-43030-00</v>
          </cell>
          <cell r="F3466">
            <v>0</v>
          </cell>
        </row>
        <row r="3467">
          <cell r="A3467" t="str">
            <v>60640-43031-00</v>
          </cell>
          <cell r="F3467">
            <v>0</v>
          </cell>
        </row>
        <row r="3468">
          <cell r="A3468" t="str">
            <v>60640-43032-00</v>
          </cell>
          <cell r="F3468">
            <v>0</v>
          </cell>
        </row>
        <row r="3469">
          <cell r="A3469" t="str">
            <v>60640-43041-00</v>
          </cell>
          <cell r="F3469">
            <v>3643.25</v>
          </cell>
        </row>
        <row r="3470">
          <cell r="A3470" t="str">
            <v>60640-43052-00</v>
          </cell>
          <cell r="F3470">
            <v>0</v>
          </cell>
        </row>
        <row r="3471">
          <cell r="A3471" t="str">
            <v>60640-45001-00</v>
          </cell>
          <cell r="F3471">
            <v>2807.08</v>
          </cell>
        </row>
        <row r="3472">
          <cell r="A3472" t="str">
            <v>60640-45002-00</v>
          </cell>
          <cell r="F3472">
            <v>28332.5</v>
          </cell>
        </row>
        <row r="3473">
          <cell r="A3473" t="str">
            <v>60640-45003-00</v>
          </cell>
          <cell r="F3473">
            <v>0</v>
          </cell>
        </row>
        <row r="3474">
          <cell r="A3474" t="str">
            <v>60640-45005-00</v>
          </cell>
          <cell r="F3474">
            <v>7088.44</v>
          </cell>
        </row>
        <row r="3475">
          <cell r="A3475" t="str">
            <v>60640-45009-00</v>
          </cell>
          <cell r="F3475">
            <v>0</v>
          </cell>
        </row>
        <row r="3476">
          <cell r="A3476" t="str">
            <v>60640-45029-00</v>
          </cell>
          <cell r="F3476">
            <v>321.3</v>
          </cell>
        </row>
        <row r="3477">
          <cell r="A3477" t="str">
            <v>60640-45030-00</v>
          </cell>
          <cell r="F3477">
            <v>0</v>
          </cell>
        </row>
        <row r="3478">
          <cell r="A3478" t="str">
            <v>60640-45031-00</v>
          </cell>
          <cell r="F3478">
            <v>0</v>
          </cell>
        </row>
        <row r="3479">
          <cell r="A3479" t="str">
            <v>60640-45032-00</v>
          </cell>
          <cell r="F3479">
            <v>0</v>
          </cell>
        </row>
        <row r="3480">
          <cell r="A3480" t="str">
            <v>60640-45052-00</v>
          </cell>
          <cell r="F3480">
            <v>0</v>
          </cell>
        </row>
        <row r="3481">
          <cell r="A3481" t="str">
            <v>60640-51001-00</v>
          </cell>
          <cell r="F3481">
            <v>9332.51</v>
          </cell>
        </row>
        <row r="3482">
          <cell r="A3482" t="str">
            <v>60640-51005-00</v>
          </cell>
          <cell r="F3482">
            <v>0</v>
          </cell>
        </row>
        <row r="3483">
          <cell r="A3483" t="str">
            <v>60640-53001-00</v>
          </cell>
          <cell r="F3483">
            <v>0</v>
          </cell>
        </row>
        <row r="3484">
          <cell r="A3484" t="str">
            <v>60640-61030-00</v>
          </cell>
          <cell r="F3484">
            <v>0</v>
          </cell>
        </row>
        <row r="3485">
          <cell r="A3485" t="str">
            <v>60640-61031-00</v>
          </cell>
          <cell r="F3485">
            <v>2648.8</v>
          </cell>
        </row>
        <row r="3486">
          <cell r="A3486" t="str">
            <v>60640-62030-00</v>
          </cell>
          <cell r="F3486">
            <v>0</v>
          </cell>
        </row>
        <row r="3487">
          <cell r="A3487" t="str">
            <v>60640-62032-00</v>
          </cell>
          <cell r="F3487">
            <v>0</v>
          </cell>
        </row>
        <row r="3488">
          <cell r="A3488" t="str">
            <v>60640-63030-00</v>
          </cell>
          <cell r="F3488">
            <v>0</v>
          </cell>
        </row>
        <row r="3489">
          <cell r="A3489" t="str">
            <v>60640-63032-00</v>
          </cell>
          <cell r="F3489">
            <v>0</v>
          </cell>
        </row>
        <row r="3490">
          <cell r="A3490" t="str">
            <v>60640-64032-00</v>
          </cell>
          <cell r="F3490">
            <v>0</v>
          </cell>
        </row>
        <row r="3491">
          <cell r="A3491" t="str">
            <v>60640-81001-00</v>
          </cell>
          <cell r="F3491">
            <v>1962.53</v>
          </cell>
        </row>
        <row r="3492">
          <cell r="A3492" t="str">
            <v>60640-81005-00</v>
          </cell>
          <cell r="F3492">
            <v>0</v>
          </cell>
        </row>
        <row r="3493">
          <cell r="A3493" t="str">
            <v>60640-83001-00</v>
          </cell>
          <cell r="F3493">
            <v>13693.87</v>
          </cell>
        </row>
        <row r="3494">
          <cell r="A3494" t="str">
            <v>60640-84001-00</v>
          </cell>
          <cell r="F3494">
            <v>1470.7</v>
          </cell>
        </row>
        <row r="3495">
          <cell r="A3495" t="str">
            <v>60640-85001-00</v>
          </cell>
          <cell r="F3495">
            <v>279.3</v>
          </cell>
        </row>
        <row r="3496">
          <cell r="A3496" t="str">
            <v>60650-00000-00</v>
          </cell>
          <cell r="F3496">
            <v>0</v>
          </cell>
        </row>
        <row r="3497">
          <cell r="A3497" t="str">
            <v>60650-11001-00</v>
          </cell>
          <cell r="F3497">
            <v>18667.13</v>
          </cell>
        </row>
        <row r="3498">
          <cell r="A3498" t="str">
            <v>60650-11005-00</v>
          </cell>
          <cell r="F3498">
            <v>0</v>
          </cell>
        </row>
        <row r="3499">
          <cell r="A3499" t="str">
            <v>60650-13006-00</v>
          </cell>
          <cell r="F3499">
            <v>0</v>
          </cell>
        </row>
        <row r="3500">
          <cell r="A3500" t="str">
            <v>60650-13007-00</v>
          </cell>
          <cell r="F3500">
            <v>0</v>
          </cell>
        </row>
        <row r="3501">
          <cell r="A3501" t="str">
            <v>60650-14001-00</v>
          </cell>
          <cell r="F3501">
            <v>8864.5499999999993</v>
          </cell>
        </row>
        <row r="3502">
          <cell r="A3502" t="str">
            <v>60650-15001-00</v>
          </cell>
          <cell r="F3502">
            <v>75102.679999999993</v>
          </cell>
        </row>
        <row r="3503">
          <cell r="A3503" t="str">
            <v>60650-15005-00</v>
          </cell>
          <cell r="F3503">
            <v>0</v>
          </cell>
        </row>
        <row r="3504">
          <cell r="A3504" t="str">
            <v>60650-31000-00</v>
          </cell>
          <cell r="F3504">
            <v>0</v>
          </cell>
        </row>
        <row r="3505">
          <cell r="A3505" t="str">
            <v>60650-31001-00</v>
          </cell>
          <cell r="F3505">
            <v>1335.77</v>
          </cell>
        </row>
        <row r="3506">
          <cell r="A3506" t="str">
            <v>60650-41001-00</v>
          </cell>
          <cell r="F3506">
            <v>2141.0500000000002</v>
          </cell>
        </row>
        <row r="3507">
          <cell r="A3507" t="str">
            <v>60650-41002-00</v>
          </cell>
          <cell r="F3507">
            <v>10.92</v>
          </cell>
        </row>
        <row r="3508">
          <cell r="A3508" t="str">
            <v>60650-41003-00</v>
          </cell>
          <cell r="F3508">
            <v>0</v>
          </cell>
        </row>
        <row r="3509">
          <cell r="A3509" t="str">
            <v>60650-41004-00</v>
          </cell>
          <cell r="F3509">
            <v>188.16</v>
          </cell>
        </row>
        <row r="3510">
          <cell r="A3510" t="str">
            <v>60650-41005-00</v>
          </cell>
          <cell r="F3510">
            <v>2228.2199999999998</v>
          </cell>
        </row>
        <row r="3511">
          <cell r="A3511" t="str">
            <v>60650-41009-00</v>
          </cell>
          <cell r="F3511">
            <v>210.84</v>
          </cell>
        </row>
        <row r="3512">
          <cell r="A3512" t="str">
            <v>60650-41029-00</v>
          </cell>
          <cell r="F3512">
            <v>767.82</v>
          </cell>
        </row>
        <row r="3513">
          <cell r="A3513" t="str">
            <v>60650-41030-00</v>
          </cell>
          <cell r="F3513">
            <v>3645.45</v>
          </cell>
        </row>
        <row r="3514">
          <cell r="A3514" t="str">
            <v>60650-41031-00</v>
          </cell>
          <cell r="F3514">
            <v>0</v>
          </cell>
        </row>
        <row r="3515">
          <cell r="A3515" t="str">
            <v>60650-41032-00</v>
          </cell>
          <cell r="F3515">
            <v>45.47</v>
          </cell>
        </row>
        <row r="3516">
          <cell r="A3516" t="str">
            <v>60650-41041-00</v>
          </cell>
          <cell r="F3516">
            <v>565.28</v>
          </cell>
        </row>
        <row r="3517">
          <cell r="A3517" t="str">
            <v>60650-41049-00</v>
          </cell>
          <cell r="F3517">
            <v>2476.52</v>
          </cell>
        </row>
        <row r="3518">
          <cell r="A3518" t="str">
            <v>60650-41052-00</v>
          </cell>
          <cell r="F3518">
            <v>0</v>
          </cell>
        </row>
        <row r="3519">
          <cell r="A3519" t="str">
            <v>60650-43001-00</v>
          </cell>
          <cell r="F3519">
            <v>0</v>
          </cell>
        </row>
        <row r="3520">
          <cell r="A3520" t="str">
            <v>60650-43002-00</v>
          </cell>
          <cell r="F3520">
            <v>0</v>
          </cell>
        </row>
        <row r="3521">
          <cell r="A3521" t="str">
            <v>60650-43003-00</v>
          </cell>
          <cell r="F3521">
            <v>0</v>
          </cell>
        </row>
        <row r="3522">
          <cell r="A3522" t="str">
            <v>60650-43005-00</v>
          </cell>
          <cell r="F3522">
            <v>0</v>
          </cell>
        </row>
        <row r="3523">
          <cell r="A3523" t="str">
            <v>60650-43009-00</v>
          </cell>
          <cell r="F3523">
            <v>1319.36</v>
          </cell>
        </row>
        <row r="3524">
          <cell r="A3524" t="str">
            <v>60650-43029-00</v>
          </cell>
          <cell r="F3524">
            <v>0</v>
          </cell>
        </row>
        <row r="3525">
          <cell r="A3525" t="str">
            <v>60650-43030-00</v>
          </cell>
          <cell r="F3525">
            <v>0</v>
          </cell>
        </row>
        <row r="3526">
          <cell r="A3526" t="str">
            <v>60650-43031-00</v>
          </cell>
          <cell r="F3526">
            <v>0</v>
          </cell>
        </row>
        <row r="3527">
          <cell r="A3527" t="str">
            <v>60650-43032-00</v>
          </cell>
          <cell r="F3527">
            <v>0</v>
          </cell>
        </row>
        <row r="3528">
          <cell r="A3528" t="str">
            <v>60650-43041-00</v>
          </cell>
          <cell r="F3528">
            <v>4548.6400000000003</v>
          </cell>
        </row>
        <row r="3529">
          <cell r="A3529" t="str">
            <v>60650-43052-00</v>
          </cell>
          <cell r="F3529">
            <v>0</v>
          </cell>
        </row>
        <row r="3530">
          <cell r="A3530" t="str">
            <v>60650-45001-00</v>
          </cell>
          <cell r="F3530">
            <v>0</v>
          </cell>
        </row>
        <row r="3531">
          <cell r="A3531" t="str">
            <v>60650-45002-00</v>
          </cell>
          <cell r="F3531">
            <v>8706.07</v>
          </cell>
        </row>
        <row r="3532">
          <cell r="A3532" t="str">
            <v>60650-45003-00</v>
          </cell>
          <cell r="F3532">
            <v>0</v>
          </cell>
        </row>
        <row r="3533">
          <cell r="A3533" t="str">
            <v>60650-45005-00</v>
          </cell>
          <cell r="F3533">
            <v>26.96</v>
          </cell>
        </row>
        <row r="3534">
          <cell r="A3534" t="str">
            <v>60650-45009-00</v>
          </cell>
          <cell r="F3534">
            <v>1652.56</v>
          </cell>
        </row>
        <row r="3535">
          <cell r="A3535" t="str">
            <v>60650-45029-00</v>
          </cell>
          <cell r="F3535">
            <v>161.74</v>
          </cell>
        </row>
        <row r="3536">
          <cell r="A3536" t="str">
            <v>60650-45030-00</v>
          </cell>
          <cell r="F3536">
            <v>0</v>
          </cell>
        </row>
        <row r="3537">
          <cell r="A3537" t="str">
            <v>60650-45031-00</v>
          </cell>
          <cell r="F3537">
            <v>0</v>
          </cell>
        </row>
        <row r="3538">
          <cell r="A3538" t="str">
            <v>60650-45032-00</v>
          </cell>
          <cell r="F3538">
            <v>0</v>
          </cell>
        </row>
        <row r="3539">
          <cell r="A3539" t="str">
            <v>60650-45052-00</v>
          </cell>
          <cell r="F3539">
            <v>0</v>
          </cell>
        </row>
        <row r="3540">
          <cell r="A3540" t="str">
            <v>60650-51001-00</v>
          </cell>
          <cell r="F3540">
            <v>60582.82</v>
          </cell>
        </row>
        <row r="3541">
          <cell r="A3541" t="str">
            <v>60650-51005-00</v>
          </cell>
          <cell r="F3541">
            <v>0</v>
          </cell>
        </row>
        <row r="3542">
          <cell r="A3542" t="str">
            <v>60650-53001-00</v>
          </cell>
          <cell r="F3542">
            <v>0</v>
          </cell>
        </row>
        <row r="3543">
          <cell r="A3543" t="str">
            <v>60650-61030-00</v>
          </cell>
          <cell r="F3543">
            <v>0</v>
          </cell>
        </row>
        <row r="3544">
          <cell r="A3544" t="str">
            <v>60650-61031-00</v>
          </cell>
          <cell r="F3544">
            <v>0</v>
          </cell>
        </row>
        <row r="3545">
          <cell r="A3545" t="str">
            <v>60650-62030-00</v>
          </cell>
          <cell r="F3545">
            <v>4563.54</v>
          </cell>
        </row>
        <row r="3546">
          <cell r="A3546" t="str">
            <v>60650-62032-00</v>
          </cell>
          <cell r="F3546">
            <v>0</v>
          </cell>
        </row>
        <row r="3547">
          <cell r="A3547" t="str">
            <v>60650-63030-00</v>
          </cell>
          <cell r="F3547">
            <v>0</v>
          </cell>
        </row>
        <row r="3548">
          <cell r="A3548" t="str">
            <v>60650-63032-00</v>
          </cell>
          <cell r="F3548">
            <v>0</v>
          </cell>
        </row>
        <row r="3549">
          <cell r="A3549" t="str">
            <v>60650-64032-00</v>
          </cell>
          <cell r="F3549">
            <v>0</v>
          </cell>
        </row>
        <row r="3550">
          <cell r="A3550" t="str">
            <v>60650-81001-00</v>
          </cell>
          <cell r="F3550">
            <v>4722.37</v>
          </cell>
        </row>
        <row r="3551">
          <cell r="A3551" t="str">
            <v>60650-81005-00</v>
          </cell>
          <cell r="F3551">
            <v>0</v>
          </cell>
        </row>
        <row r="3552">
          <cell r="A3552" t="str">
            <v>60650-83001-00</v>
          </cell>
          <cell r="F3552">
            <v>61753.11</v>
          </cell>
        </row>
        <row r="3553">
          <cell r="A3553" t="str">
            <v>60650-84001-00</v>
          </cell>
          <cell r="F3553">
            <v>4785.97</v>
          </cell>
        </row>
        <row r="3554">
          <cell r="A3554" t="str">
            <v>60650-85001-00</v>
          </cell>
          <cell r="F3554">
            <v>0</v>
          </cell>
        </row>
        <row r="3555">
          <cell r="A3555" t="str">
            <v>60650-89001-00</v>
          </cell>
          <cell r="F3555">
            <v>0</v>
          </cell>
        </row>
        <row r="3556">
          <cell r="A3556" t="str">
            <v>60660-14001-00</v>
          </cell>
          <cell r="F3556">
            <v>0</v>
          </cell>
        </row>
        <row r="3557">
          <cell r="A3557" t="str">
            <v>60660-51001-00</v>
          </cell>
          <cell r="F3557">
            <v>46286.85</v>
          </cell>
        </row>
        <row r="3558">
          <cell r="A3558" t="str">
            <v>60660-51005-00</v>
          </cell>
          <cell r="F3558">
            <v>0</v>
          </cell>
        </row>
        <row r="3559">
          <cell r="A3559" t="str">
            <v>60700-00000-00</v>
          </cell>
          <cell r="F3559">
            <v>0</v>
          </cell>
        </row>
        <row r="3560">
          <cell r="A3560" t="str">
            <v>60700-11001-00</v>
          </cell>
          <cell r="F3560">
            <v>20339.7</v>
          </cell>
        </row>
        <row r="3561">
          <cell r="A3561" t="str">
            <v>60700-11005-00</v>
          </cell>
          <cell r="F3561">
            <v>0</v>
          </cell>
        </row>
        <row r="3562">
          <cell r="A3562" t="str">
            <v>60700-13006-00</v>
          </cell>
          <cell r="F3562">
            <v>0</v>
          </cell>
        </row>
        <row r="3563">
          <cell r="A3563" t="str">
            <v>60700-13007-00</v>
          </cell>
          <cell r="F3563">
            <v>0</v>
          </cell>
        </row>
        <row r="3564">
          <cell r="A3564" t="str">
            <v>60700-14001-00</v>
          </cell>
          <cell r="F3564">
            <v>7019.67</v>
          </cell>
        </row>
        <row r="3565">
          <cell r="A3565" t="str">
            <v>60700-15001-00</v>
          </cell>
          <cell r="F3565">
            <v>21071.1</v>
          </cell>
        </row>
        <row r="3566">
          <cell r="A3566" t="str">
            <v>60700-15005-00</v>
          </cell>
          <cell r="F3566">
            <v>0</v>
          </cell>
        </row>
        <row r="3567">
          <cell r="A3567" t="str">
            <v>60700-31000-00</v>
          </cell>
          <cell r="F3567">
            <v>0</v>
          </cell>
        </row>
        <row r="3568">
          <cell r="A3568" t="str">
            <v>60700-31001-00</v>
          </cell>
          <cell r="F3568">
            <v>801.78</v>
          </cell>
        </row>
        <row r="3569">
          <cell r="A3569" t="str">
            <v>60700-41001-00</v>
          </cell>
          <cell r="F3569">
            <v>3656.58</v>
          </cell>
        </row>
        <row r="3570">
          <cell r="A3570" t="str">
            <v>60700-41002-00</v>
          </cell>
          <cell r="F3570">
            <v>296.36</v>
          </cell>
        </row>
        <row r="3571">
          <cell r="A3571" t="str">
            <v>60700-41003-00</v>
          </cell>
          <cell r="F3571">
            <v>615.70000000000005</v>
          </cell>
        </row>
        <row r="3572">
          <cell r="A3572" t="str">
            <v>60700-41004-00</v>
          </cell>
          <cell r="F3572">
            <v>36.92</v>
          </cell>
        </row>
        <row r="3573">
          <cell r="A3573" t="str">
            <v>60700-41005-00</v>
          </cell>
          <cell r="F3573">
            <v>228.76</v>
          </cell>
        </row>
        <row r="3574">
          <cell r="A3574" t="str">
            <v>60700-41009-00</v>
          </cell>
          <cell r="F3574">
            <v>0</v>
          </cell>
        </row>
        <row r="3575">
          <cell r="A3575" t="str">
            <v>60700-41029-00</v>
          </cell>
          <cell r="F3575">
            <v>290.37</v>
          </cell>
        </row>
        <row r="3576">
          <cell r="A3576" t="str">
            <v>60700-41030-00</v>
          </cell>
          <cell r="F3576">
            <v>508.35</v>
          </cell>
        </row>
        <row r="3577">
          <cell r="A3577" t="str">
            <v>60700-41031-00</v>
          </cell>
          <cell r="F3577">
            <v>83.35</v>
          </cell>
        </row>
        <row r="3578">
          <cell r="A3578" t="str">
            <v>60700-41032-00</v>
          </cell>
          <cell r="F3578">
            <v>12.17</v>
          </cell>
        </row>
        <row r="3579">
          <cell r="A3579" t="str">
            <v>60700-41041-00</v>
          </cell>
          <cell r="F3579">
            <v>55.42</v>
          </cell>
        </row>
        <row r="3580">
          <cell r="A3580" t="str">
            <v>60700-41049-00</v>
          </cell>
          <cell r="F3580">
            <v>440.31</v>
          </cell>
        </row>
        <row r="3581">
          <cell r="A3581" t="str">
            <v>60700-41052-00</v>
          </cell>
          <cell r="F3581">
            <v>0</v>
          </cell>
        </row>
        <row r="3582">
          <cell r="A3582" t="str">
            <v>60700-43001-00</v>
          </cell>
          <cell r="F3582">
            <v>0</v>
          </cell>
        </row>
        <row r="3583">
          <cell r="A3583" t="str">
            <v>60700-43002-00</v>
          </cell>
          <cell r="F3583">
            <v>6.46</v>
          </cell>
        </row>
        <row r="3584">
          <cell r="A3584" t="str">
            <v>60700-43003-00</v>
          </cell>
          <cell r="F3584">
            <v>0</v>
          </cell>
        </row>
        <row r="3585">
          <cell r="A3585" t="str">
            <v>60700-43005-00</v>
          </cell>
          <cell r="F3585">
            <v>0</v>
          </cell>
        </row>
        <row r="3586">
          <cell r="A3586" t="str">
            <v>60700-43009-00</v>
          </cell>
          <cell r="F3586">
            <v>9.99</v>
          </cell>
        </row>
        <row r="3587">
          <cell r="A3587" t="str">
            <v>60700-43029-00</v>
          </cell>
          <cell r="F3587">
            <v>0</v>
          </cell>
        </row>
        <row r="3588">
          <cell r="A3588" t="str">
            <v>60700-43030-00</v>
          </cell>
          <cell r="F3588">
            <v>2975.33</v>
          </cell>
        </row>
        <row r="3589">
          <cell r="A3589" t="str">
            <v>60700-43031-00</v>
          </cell>
          <cell r="F3589">
            <v>560</v>
          </cell>
        </row>
        <row r="3590">
          <cell r="A3590" t="str">
            <v>60700-43032-00</v>
          </cell>
          <cell r="F3590">
            <v>568.48</v>
          </cell>
        </row>
        <row r="3591">
          <cell r="A3591" t="str">
            <v>60700-43041-00</v>
          </cell>
          <cell r="F3591">
            <v>1139.04</v>
          </cell>
        </row>
        <row r="3592">
          <cell r="A3592" t="str">
            <v>60700-43052-00</v>
          </cell>
          <cell r="F3592">
            <v>0</v>
          </cell>
        </row>
        <row r="3593">
          <cell r="A3593" t="str">
            <v>60700-45001-00</v>
          </cell>
          <cell r="F3593">
            <v>1331.47</v>
          </cell>
        </row>
        <row r="3594">
          <cell r="A3594" t="str">
            <v>60700-45002-00</v>
          </cell>
          <cell r="F3594">
            <v>13039.2</v>
          </cell>
        </row>
        <row r="3595">
          <cell r="A3595" t="str">
            <v>60700-45003-00</v>
          </cell>
          <cell r="F3595">
            <v>0</v>
          </cell>
        </row>
        <row r="3596">
          <cell r="A3596" t="str">
            <v>60700-45005-00</v>
          </cell>
          <cell r="F3596">
            <v>1536.93</v>
          </cell>
        </row>
        <row r="3597">
          <cell r="A3597" t="str">
            <v>60700-45009-00</v>
          </cell>
          <cell r="F3597">
            <v>0</v>
          </cell>
        </row>
        <row r="3598">
          <cell r="A3598" t="str">
            <v>60700-45029-00</v>
          </cell>
          <cell r="F3598">
            <v>1076.02</v>
          </cell>
        </row>
        <row r="3599">
          <cell r="A3599" t="str">
            <v>60700-45030-00</v>
          </cell>
          <cell r="F3599">
            <v>0</v>
          </cell>
        </row>
        <row r="3600">
          <cell r="A3600" t="str">
            <v>60700-45031-00</v>
          </cell>
          <cell r="F3600">
            <v>0</v>
          </cell>
        </row>
        <row r="3601">
          <cell r="A3601" t="str">
            <v>60700-45032-00</v>
          </cell>
          <cell r="F3601">
            <v>18.66</v>
          </cell>
        </row>
        <row r="3602">
          <cell r="A3602" t="str">
            <v>60700-45052-00</v>
          </cell>
          <cell r="F3602">
            <v>0</v>
          </cell>
        </row>
        <row r="3603">
          <cell r="A3603" t="str">
            <v>60700-51001-00</v>
          </cell>
          <cell r="F3603">
            <v>8796.0400000000009</v>
          </cell>
        </row>
        <row r="3604">
          <cell r="A3604" t="str">
            <v>60700-51005-00</v>
          </cell>
          <cell r="F3604">
            <v>0</v>
          </cell>
        </row>
        <row r="3605">
          <cell r="A3605" t="str">
            <v>60700-53001-00</v>
          </cell>
          <cell r="F3605">
            <v>0</v>
          </cell>
        </row>
        <row r="3606">
          <cell r="A3606" t="str">
            <v>60700-61030-00</v>
          </cell>
          <cell r="F3606">
            <v>140</v>
          </cell>
        </row>
        <row r="3607">
          <cell r="A3607" t="str">
            <v>60700-61031-00</v>
          </cell>
          <cell r="F3607">
            <v>3897.73</v>
          </cell>
        </row>
        <row r="3608">
          <cell r="A3608" t="str">
            <v>60700-62030-00</v>
          </cell>
          <cell r="F3608">
            <v>5927.26</v>
          </cell>
        </row>
        <row r="3609">
          <cell r="A3609" t="str">
            <v>60700-62032-00</v>
          </cell>
          <cell r="F3609">
            <v>24.35</v>
          </cell>
        </row>
        <row r="3610">
          <cell r="A3610" t="str">
            <v>60700-63030-00</v>
          </cell>
          <cell r="F3610">
            <v>0</v>
          </cell>
        </row>
        <row r="3611">
          <cell r="A3611" t="str">
            <v>60700-63032-00</v>
          </cell>
          <cell r="F3611">
            <v>226.35</v>
          </cell>
        </row>
        <row r="3612">
          <cell r="A3612" t="str">
            <v>60700-64032-00</v>
          </cell>
          <cell r="F3612">
            <v>0</v>
          </cell>
        </row>
        <row r="3613">
          <cell r="A3613" t="str">
            <v>60700-81001-00</v>
          </cell>
          <cell r="F3613">
            <v>17220.060000000001</v>
          </cell>
        </row>
        <row r="3614">
          <cell r="A3614" t="str">
            <v>60700-81005-00</v>
          </cell>
          <cell r="F3614">
            <v>0</v>
          </cell>
        </row>
        <row r="3615">
          <cell r="A3615" t="str">
            <v>60700-83001-00</v>
          </cell>
          <cell r="F3615">
            <v>16904.02</v>
          </cell>
        </row>
        <row r="3616">
          <cell r="A3616" t="str">
            <v>60700-84001-00</v>
          </cell>
          <cell r="F3616">
            <v>29225.4</v>
          </cell>
        </row>
        <row r="3617">
          <cell r="A3617" t="str">
            <v>60700-85001-00</v>
          </cell>
          <cell r="F3617">
            <v>0</v>
          </cell>
        </row>
        <row r="3618">
          <cell r="A3618" t="str">
            <v>60700-89001-00</v>
          </cell>
          <cell r="F3618">
            <v>0</v>
          </cell>
        </row>
        <row r="3619">
          <cell r="A3619" t="str">
            <v>60750-00000-00</v>
          </cell>
          <cell r="F3619">
            <v>0</v>
          </cell>
        </row>
        <row r="3620">
          <cell r="A3620" t="str">
            <v>60750-11001-00</v>
          </cell>
          <cell r="F3620">
            <v>0</v>
          </cell>
        </row>
        <row r="3621">
          <cell r="A3621" t="str">
            <v>60750-11005-00</v>
          </cell>
          <cell r="F3621">
            <v>0</v>
          </cell>
        </row>
        <row r="3622">
          <cell r="A3622" t="str">
            <v>60750-51001-00</v>
          </cell>
          <cell r="F3622">
            <v>0</v>
          </cell>
        </row>
        <row r="3623">
          <cell r="A3623" t="str">
            <v>60750-51005-00</v>
          </cell>
          <cell r="F3623">
            <v>0</v>
          </cell>
        </row>
        <row r="3624">
          <cell r="A3624" t="str">
            <v>60750-81001-00</v>
          </cell>
          <cell r="F3624">
            <v>0</v>
          </cell>
        </row>
        <row r="3625">
          <cell r="A3625" t="str">
            <v>60750-81005-00</v>
          </cell>
          <cell r="F3625">
            <v>0</v>
          </cell>
        </row>
        <row r="3626">
          <cell r="A3626" t="str">
            <v>60750-83001-00</v>
          </cell>
          <cell r="F3626">
            <v>1328.53</v>
          </cell>
        </row>
        <row r="3627">
          <cell r="A3627" t="str">
            <v>60750-84001-00</v>
          </cell>
          <cell r="F3627">
            <v>28038.67</v>
          </cell>
        </row>
        <row r="3628">
          <cell r="A3628" t="str">
            <v>60750-85001-00</v>
          </cell>
          <cell r="F3628">
            <v>0</v>
          </cell>
        </row>
        <row r="3629">
          <cell r="A3629" t="str">
            <v>60750-89001-00</v>
          </cell>
          <cell r="F3629">
            <v>0</v>
          </cell>
        </row>
        <row r="3630">
          <cell r="A3630" t="str">
            <v>60800-00000-00</v>
          </cell>
          <cell r="F3630">
            <v>0</v>
          </cell>
        </row>
        <row r="3631">
          <cell r="A3631" t="str">
            <v>60800-11001-00</v>
          </cell>
          <cell r="F3631">
            <v>81172.850000000006</v>
          </cell>
        </row>
        <row r="3632">
          <cell r="A3632" t="str">
            <v>60800-11005-00</v>
          </cell>
          <cell r="F3632">
            <v>0</v>
          </cell>
        </row>
        <row r="3633">
          <cell r="A3633" t="str">
            <v>60800-13006-00</v>
          </cell>
          <cell r="F3633">
            <v>0</v>
          </cell>
        </row>
        <row r="3634">
          <cell r="A3634" t="str">
            <v>60800-13007-00</v>
          </cell>
          <cell r="F3634">
            <v>0</v>
          </cell>
        </row>
        <row r="3635">
          <cell r="A3635" t="str">
            <v>60800-15001-00</v>
          </cell>
          <cell r="F3635">
            <v>3520</v>
          </cell>
        </row>
        <row r="3636">
          <cell r="A3636" t="str">
            <v>60800-15005-00</v>
          </cell>
          <cell r="F3636">
            <v>0</v>
          </cell>
        </row>
        <row r="3637">
          <cell r="A3637" t="str">
            <v>60800-31000-00</v>
          </cell>
          <cell r="F3637">
            <v>0</v>
          </cell>
        </row>
        <row r="3638">
          <cell r="A3638" t="str">
            <v>60800-31001-00</v>
          </cell>
          <cell r="F3638">
            <v>849.23</v>
          </cell>
        </row>
        <row r="3639">
          <cell r="A3639" t="str">
            <v>60800-41001-00</v>
          </cell>
          <cell r="F3639">
            <v>2960</v>
          </cell>
        </row>
        <row r="3640">
          <cell r="A3640" t="str">
            <v>60800-41002-00</v>
          </cell>
          <cell r="F3640">
            <v>0</v>
          </cell>
        </row>
        <row r="3641">
          <cell r="A3641" t="str">
            <v>60800-41003-00</v>
          </cell>
          <cell r="F3641">
            <v>320</v>
          </cell>
        </row>
        <row r="3642">
          <cell r="A3642" t="str">
            <v>60800-41004-00</v>
          </cell>
          <cell r="F3642">
            <v>0</v>
          </cell>
        </row>
        <row r="3643">
          <cell r="A3643" t="str">
            <v>60800-41005-00</v>
          </cell>
          <cell r="F3643">
            <v>0</v>
          </cell>
        </row>
        <row r="3644">
          <cell r="A3644" t="str">
            <v>60800-41009-00</v>
          </cell>
          <cell r="F3644">
            <v>0</v>
          </cell>
        </row>
        <row r="3645">
          <cell r="A3645" t="str">
            <v>60800-41029-00</v>
          </cell>
          <cell r="F3645">
            <v>0</v>
          </cell>
        </row>
        <row r="3646">
          <cell r="A3646" t="str">
            <v>60800-41030-00</v>
          </cell>
          <cell r="F3646">
            <v>0</v>
          </cell>
        </row>
        <row r="3647">
          <cell r="A3647" t="str">
            <v>60800-41031-00</v>
          </cell>
          <cell r="F3647">
            <v>0</v>
          </cell>
        </row>
        <row r="3648">
          <cell r="A3648" t="str">
            <v>60800-41032-00</v>
          </cell>
          <cell r="F3648">
            <v>0</v>
          </cell>
        </row>
        <row r="3649">
          <cell r="A3649" t="str">
            <v>60800-41041-00</v>
          </cell>
          <cell r="F3649">
            <v>0</v>
          </cell>
        </row>
        <row r="3650">
          <cell r="A3650" t="str">
            <v>60800-41049-00</v>
          </cell>
          <cell r="F3650">
            <v>0</v>
          </cell>
        </row>
        <row r="3651">
          <cell r="A3651" t="str">
            <v>60800-41052-00</v>
          </cell>
          <cell r="F3651">
            <v>0</v>
          </cell>
        </row>
        <row r="3652">
          <cell r="A3652" t="str">
            <v>60800-43001-00</v>
          </cell>
          <cell r="F3652">
            <v>0</v>
          </cell>
        </row>
        <row r="3653">
          <cell r="A3653" t="str">
            <v>60800-43002-00</v>
          </cell>
          <cell r="F3653">
            <v>0</v>
          </cell>
        </row>
        <row r="3654">
          <cell r="A3654" t="str">
            <v>60800-43003-00</v>
          </cell>
          <cell r="F3654">
            <v>0</v>
          </cell>
        </row>
        <row r="3655">
          <cell r="A3655" t="str">
            <v>60800-43005-00</v>
          </cell>
          <cell r="F3655">
            <v>0</v>
          </cell>
        </row>
        <row r="3656">
          <cell r="A3656" t="str">
            <v>60800-43009-00</v>
          </cell>
          <cell r="F3656">
            <v>0</v>
          </cell>
        </row>
        <row r="3657">
          <cell r="A3657" t="str">
            <v>60800-43029-00</v>
          </cell>
          <cell r="F3657">
            <v>0</v>
          </cell>
        </row>
        <row r="3658">
          <cell r="A3658" t="str">
            <v>60800-43030-00</v>
          </cell>
          <cell r="F3658">
            <v>0</v>
          </cell>
        </row>
        <row r="3659">
          <cell r="A3659" t="str">
            <v>60800-43031-00</v>
          </cell>
          <cell r="F3659">
            <v>0</v>
          </cell>
        </row>
        <row r="3660">
          <cell r="A3660" t="str">
            <v>60800-43032-00</v>
          </cell>
          <cell r="F3660">
            <v>0</v>
          </cell>
        </row>
        <row r="3661">
          <cell r="A3661" t="str">
            <v>60800-43041-00</v>
          </cell>
          <cell r="F3661">
            <v>0</v>
          </cell>
        </row>
        <row r="3662">
          <cell r="A3662" t="str">
            <v>60800-43052-00</v>
          </cell>
          <cell r="F3662">
            <v>0</v>
          </cell>
        </row>
        <row r="3663">
          <cell r="A3663" t="str">
            <v>60800-45001-00</v>
          </cell>
          <cell r="F3663">
            <v>0</v>
          </cell>
        </row>
        <row r="3664">
          <cell r="A3664" t="str">
            <v>60800-45002-00</v>
          </cell>
          <cell r="F3664">
            <v>0</v>
          </cell>
        </row>
        <row r="3665">
          <cell r="A3665" t="str">
            <v>60800-45003-00</v>
          </cell>
          <cell r="F3665">
            <v>0</v>
          </cell>
        </row>
        <row r="3666">
          <cell r="A3666" t="str">
            <v>60800-45005-00</v>
          </cell>
          <cell r="F3666">
            <v>0</v>
          </cell>
        </row>
        <row r="3667">
          <cell r="A3667" t="str">
            <v>60800-45009-00</v>
          </cell>
          <cell r="F3667">
            <v>0</v>
          </cell>
        </row>
        <row r="3668">
          <cell r="A3668" t="str">
            <v>60800-45029-00</v>
          </cell>
          <cell r="F3668">
            <v>0</v>
          </cell>
        </row>
        <row r="3669">
          <cell r="A3669" t="str">
            <v>60800-45030-00</v>
          </cell>
          <cell r="F3669">
            <v>0</v>
          </cell>
        </row>
        <row r="3670">
          <cell r="A3670" t="str">
            <v>60800-45031-00</v>
          </cell>
          <cell r="F3670">
            <v>0</v>
          </cell>
        </row>
        <row r="3671">
          <cell r="A3671" t="str">
            <v>60800-45032-00</v>
          </cell>
          <cell r="F3671">
            <v>0</v>
          </cell>
        </row>
        <row r="3672">
          <cell r="A3672" t="str">
            <v>60800-45052-00</v>
          </cell>
          <cell r="F3672">
            <v>0</v>
          </cell>
        </row>
        <row r="3673">
          <cell r="A3673" t="str">
            <v>60800-51001-00</v>
          </cell>
          <cell r="F3673">
            <v>0</v>
          </cell>
        </row>
        <row r="3674">
          <cell r="A3674" t="str">
            <v>60800-51005-00</v>
          </cell>
          <cell r="F3674">
            <v>0</v>
          </cell>
        </row>
        <row r="3675">
          <cell r="A3675" t="str">
            <v>60800-53001-00</v>
          </cell>
          <cell r="F3675">
            <v>0</v>
          </cell>
        </row>
        <row r="3676">
          <cell r="A3676" t="str">
            <v>60800-61030-00</v>
          </cell>
          <cell r="F3676">
            <v>0</v>
          </cell>
        </row>
        <row r="3677">
          <cell r="A3677" t="str">
            <v>60800-61031-00</v>
          </cell>
          <cell r="F3677">
            <v>0</v>
          </cell>
        </row>
        <row r="3678">
          <cell r="A3678" t="str">
            <v>60800-62030-00</v>
          </cell>
          <cell r="F3678">
            <v>0</v>
          </cell>
        </row>
        <row r="3679">
          <cell r="A3679" t="str">
            <v>60800-62032-00</v>
          </cell>
          <cell r="F3679">
            <v>0</v>
          </cell>
        </row>
        <row r="3680">
          <cell r="A3680" t="str">
            <v>60800-63030-00</v>
          </cell>
          <cell r="F3680">
            <v>0</v>
          </cell>
        </row>
        <row r="3681">
          <cell r="A3681" t="str">
            <v>60800-63032-00</v>
          </cell>
          <cell r="F3681">
            <v>0</v>
          </cell>
        </row>
        <row r="3682">
          <cell r="A3682" t="str">
            <v>60800-64032-00</v>
          </cell>
          <cell r="F3682">
            <v>0</v>
          </cell>
        </row>
        <row r="3683">
          <cell r="A3683" t="str">
            <v>60800-81001-00</v>
          </cell>
          <cell r="F3683">
            <v>0</v>
          </cell>
        </row>
        <row r="3684">
          <cell r="A3684" t="str">
            <v>60800-81005-00</v>
          </cell>
          <cell r="F3684">
            <v>0</v>
          </cell>
        </row>
        <row r="3685">
          <cell r="A3685" t="str">
            <v>60800-83001-00</v>
          </cell>
          <cell r="F3685">
            <v>1131.72</v>
          </cell>
        </row>
        <row r="3686">
          <cell r="A3686" t="str">
            <v>60800-84001-00</v>
          </cell>
          <cell r="F3686">
            <v>4970</v>
          </cell>
        </row>
        <row r="3687">
          <cell r="A3687" t="str">
            <v>60800-85001-00</v>
          </cell>
          <cell r="F3687">
            <v>0</v>
          </cell>
        </row>
        <row r="3688">
          <cell r="A3688" t="str">
            <v>60800-89001-00</v>
          </cell>
          <cell r="F3688">
            <v>0</v>
          </cell>
        </row>
        <row r="3689">
          <cell r="A3689" t="str">
            <v>60850-00000-00</v>
          </cell>
          <cell r="F3689">
            <v>0</v>
          </cell>
        </row>
        <row r="3690">
          <cell r="A3690" t="str">
            <v>60850-11001-00</v>
          </cell>
          <cell r="F3690">
            <v>2500</v>
          </cell>
        </row>
        <row r="3691">
          <cell r="A3691" t="str">
            <v>60850-11005-00</v>
          </cell>
          <cell r="F3691">
            <v>0</v>
          </cell>
        </row>
        <row r="3692">
          <cell r="A3692" t="str">
            <v>60850-13006-00</v>
          </cell>
          <cell r="F3692">
            <v>0</v>
          </cell>
        </row>
        <row r="3693">
          <cell r="A3693" t="str">
            <v>60850-13007-00</v>
          </cell>
          <cell r="F3693">
            <v>0</v>
          </cell>
        </row>
        <row r="3694">
          <cell r="A3694" t="str">
            <v>60850-14001-00</v>
          </cell>
          <cell r="F3694">
            <v>0</v>
          </cell>
        </row>
        <row r="3695">
          <cell r="A3695" t="str">
            <v>60850-15001-00</v>
          </cell>
          <cell r="F3695">
            <v>25935.9</v>
          </cell>
        </row>
        <row r="3696">
          <cell r="A3696" t="str">
            <v>60850-15005-00</v>
          </cell>
          <cell r="F3696">
            <v>0</v>
          </cell>
        </row>
        <row r="3697">
          <cell r="A3697" t="str">
            <v>60850-31000-00</v>
          </cell>
          <cell r="F3697">
            <v>0</v>
          </cell>
        </row>
        <row r="3698">
          <cell r="A3698" t="str">
            <v>60850-31001-00</v>
          </cell>
          <cell r="F3698">
            <v>0</v>
          </cell>
        </row>
        <row r="3699">
          <cell r="A3699" t="str">
            <v>60850-31010-00</v>
          </cell>
          <cell r="F3699">
            <v>0</v>
          </cell>
        </row>
        <row r="3700">
          <cell r="A3700" t="str">
            <v>60850-31022-00</v>
          </cell>
          <cell r="F3700">
            <v>0</v>
          </cell>
        </row>
        <row r="3701">
          <cell r="A3701" t="str">
            <v>60850-31029-00</v>
          </cell>
          <cell r="F3701">
            <v>0</v>
          </cell>
        </row>
        <row r="3702">
          <cell r="A3702" t="str">
            <v>60850-31030-00</v>
          </cell>
          <cell r="F3702">
            <v>0</v>
          </cell>
        </row>
        <row r="3703">
          <cell r="A3703" t="str">
            <v>60850-31043-00</v>
          </cell>
          <cell r="F3703">
            <v>0</v>
          </cell>
        </row>
        <row r="3704">
          <cell r="A3704" t="str">
            <v>60850-31065-00</v>
          </cell>
          <cell r="F3704">
            <v>525</v>
          </cell>
        </row>
        <row r="3705">
          <cell r="A3705" t="str">
            <v>60850-31066-00</v>
          </cell>
          <cell r="F3705">
            <v>0</v>
          </cell>
        </row>
        <row r="3706">
          <cell r="A3706" t="str">
            <v>60850-31067-00</v>
          </cell>
          <cell r="F3706">
            <v>150</v>
          </cell>
        </row>
        <row r="3707">
          <cell r="A3707" t="str">
            <v>60850-31068-00</v>
          </cell>
          <cell r="F3707">
            <v>90</v>
          </cell>
        </row>
        <row r="3708">
          <cell r="A3708" t="str">
            <v>60850-31069-00</v>
          </cell>
          <cell r="F3708">
            <v>0</v>
          </cell>
        </row>
        <row r="3709">
          <cell r="A3709" t="str">
            <v>60850-31070-00</v>
          </cell>
          <cell r="F3709">
            <v>0</v>
          </cell>
        </row>
        <row r="3710">
          <cell r="A3710" t="str">
            <v>60850-31071-00</v>
          </cell>
          <cell r="F3710">
            <v>0</v>
          </cell>
        </row>
        <row r="3711">
          <cell r="A3711" t="str">
            <v>60850-31072-00</v>
          </cell>
          <cell r="F3711">
            <v>0</v>
          </cell>
        </row>
        <row r="3712">
          <cell r="A3712" t="str">
            <v>60850-31073-00</v>
          </cell>
          <cell r="F3712">
            <v>0</v>
          </cell>
        </row>
        <row r="3713">
          <cell r="A3713" t="str">
            <v>60850-31075-00</v>
          </cell>
          <cell r="F3713">
            <v>0</v>
          </cell>
        </row>
        <row r="3714">
          <cell r="A3714" t="str">
            <v>60850-31076-00</v>
          </cell>
          <cell r="F3714">
            <v>0</v>
          </cell>
        </row>
        <row r="3715">
          <cell r="A3715" t="str">
            <v>60850-31077-00</v>
          </cell>
          <cell r="F3715">
            <v>0</v>
          </cell>
        </row>
        <row r="3716">
          <cell r="A3716" t="str">
            <v>60850-31078-00</v>
          </cell>
          <cell r="F3716">
            <v>0</v>
          </cell>
        </row>
        <row r="3717">
          <cell r="A3717" t="str">
            <v>60850-41001-00</v>
          </cell>
          <cell r="F3717">
            <v>30590.22</v>
          </cell>
        </row>
        <row r="3718">
          <cell r="A3718" t="str">
            <v>60850-41002-00</v>
          </cell>
          <cell r="F3718">
            <v>15154.1</v>
          </cell>
        </row>
        <row r="3719">
          <cell r="A3719" t="str">
            <v>60850-41003-00</v>
          </cell>
          <cell r="F3719">
            <v>12964.25</v>
          </cell>
        </row>
        <row r="3720">
          <cell r="A3720" t="str">
            <v>60850-41004-00</v>
          </cell>
          <cell r="F3720">
            <v>1874.33</v>
          </cell>
        </row>
        <row r="3721">
          <cell r="A3721" t="str">
            <v>60850-41005-00</v>
          </cell>
          <cell r="F3721">
            <v>2013.91</v>
          </cell>
        </row>
        <row r="3722">
          <cell r="A3722" t="str">
            <v>60850-41009-00</v>
          </cell>
          <cell r="F3722">
            <v>14066.85</v>
          </cell>
        </row>
        <row r="3723">
          <cell r="A3723" t="str">
            <v>60850-41029-00</v>
          </cell>
          <cell r="F3723">
            <v>231.73</v>
          </cell>
        </row>
        <row r="3724">
          <cell r="A3724" t="str">
            <v>60850-41030-00</v>
          </cell>
          <cell r="F3724">
            <v>4010</v>
          </cell>
        </row>
        <row r="3725">
          <cell r="A3725" t="str">
            <v>60850-41031-00</v>
          </cell>
          <cell r="F3725">
            <v>2029.63</v>
          </cell>
        </row>
        <row r="3726">
          <cell r="A3726" t="str">
            <v>60850-41032-00</v>
          </cell>
          <cell r="F3726">
            <v>1626.74</v>
          </cell>
        </row>
        <row r="3727">
          <cell r="A3727" t="str">
            <v>60850-41041-00</v>
          </cell>
          <cell r="F3727">
            <v>0</v>
          </cell>
        </row>
        <row r="3728">
          <cell r="A3728" t="str">
            <v>60850-41049-00</v>
          </cell>
          <cell r="F3728">
            <v>355</v>
          </cell>
        </row>
        <row r="3729">
          <cell r="A3729" t="str">
            <v>60850-41052-00</v>
          </cell>
          <cell r="F3729">
            <v>0</v>
          </cell>
        </row>
        <row r="3730">
          <cell r="A3730" t="str">
            <v>60850-43001-00</v>
          </cell>
          <cell r="F3730">
            <v>125</v>
          </cell>
        </row>
        <row r="3731">
          <cell r="A3731" t="str">
            <v>60850-43002-00</v>
          </cell>
          <cell r="F3731">
            <v>1811.5</v>
          </cell>
        </row>
        <row r="3732">
          <cell r="A3732" t="str">
            <v>60850-43003-00</v>
          </cell>
          <cell r="F3732">
            <v>75</v>
          </cell>
        </row>
        <row r="3733">
          <cell r="A3733" t="str">
            <v>60850-43005-00</v>
          </cell>
          <cell r="F3733">
            <v>240</v>
          </cell>
        </row>
        <row r="3734">
          <cell r="A3734" t="str">
            <v>60850-43009-00</v>
          </cell>
          <cell r="F3734">
            <v>7491.46</v>
          </cell>
        </row>
        <row r="3735">
          <cell r="A3735" t="str">
            <v>60850-43029-00</v>
          </cell>
          <cell r="F3735">
            <v>0</v>
          </cell>
        </row>
        <row r="3736">
          <cell r="A3736" t="str">
            <v>60850-43030-00</v>
          </cell>
          <cell r="F3736">
            <v>4748.63</v>
          </cell>
        </row>
        <row r="3737">
          <cell r="A3737" t="str">
            <v>60850-43031-00</v>
          </cell>
          <cell r="F3737">
            <v>2340.08</v>
          </cell>
        </row>
        <row r="3738">
          <cell r="A3738" t="str">
            <v>60850-43032-00</v>
          </cell>
          <cell r="F3738">
            <v>1016.18</v>
          </cell>
        </row>
        <row r="3739">
          <cell r="A3739" t="str">
            <v>60850-43041-00</v>
          </cell>
          <cell r="F3739">
            <v>529.64</v>
          </cell>
        </row>
        <row r="3740">
          <cell r="A3740" t="str">
            <v>60850-43052-00</v>
          </cell>
          <cell r="F3740">
            <v>0</v>
          </cell>
        </row>
        <row r="3741">
          <cell r="A3741" t="str">
            <v>60850-45001-00</v>
          </cell>
          <cell r="F3741">
            <v>150</v>
          </cell>
        </row>
        <row r="3742">
          <cell r="A3742" t="str">
            <v>60850-45002-00</v>
          </cell>
          <cell r="F3742">
            <v>1122.43</v>
          </cell>
        </row>
        <row r="3743">
          <cell r="A3743" t="str">
            <v>60850-45003-00</v>
          </cell>
          <cell r="F3743">
            <v>0</v>
          </cell>
        </row>
        <row r="3744">
          <cell r="A3744" t="str">
            <v>60850-45005-00</v>
          </cell>
          <cell r="F3744">
            <v>286.32</v>
          </cell>
        </row>
        <row r="3745">
          <cell r="A3745" t="str">
            <v>60850-45009-00</v>
          </cell>
          <cell r="F3745">
            <v>0</v>
          </cell>
        </row>
        <row r="3746">
          <cell r="A3746" t="str">
            <v>60850-45029-00</v>
          </cell>
          <cell r="F3746">
            <v>100</v>
          </cell>
        </row>
        <row r="3747">
          <cell r="A3747" t="str">
            <v>60850-45030-00</v>
          </cell>
          <cell r="F3747">
            <v>2240.65</v>
          </cell>
        </row>
        <row r="3748">
          <cell r="A3748" t="str">
            <v>60850-45031-00</v>
          </cell>
          <cell r="F3748">
            <v>1010.02</v>
          </cell>
        </row>
        <row r="3749">
          <cell r="A3749" t="str">
            <v>60850-45032-00</v>
          </cell>
          <cell r="F3749">
            <v>282.45999999999998</v>
          </cell>
        </row>
        <row r="3750">
          <cell r="A3750" t="str">
            <v>60850-45052-00</v>
          </cell>
          <cell r="F3750">
            <v>0</v>
          </cell>
        </row>
        <row r="3751">
          <cell r="A3751" t="str">
            <v>60850-51001-00</v>
          </cell>
          <cell r="F3751">
            <v>110972.34</v>
          </cell>
        </row>
        <row r="3752">
          <cell r="A3752" t="str">
            <v>60850-51005-00</v>
          </cell>
          <cell r="F3752">
            <v>0</v>
          </cell>
        </row>
        <row r="3753">
          <cell r="A3753" t="str">
            <v>60850-53001-00</v>
          </cell>
          <cell r="F3753">
            <v>0</v>
          </cell>
        </row>
        <row r="3754">
          <cell r="A3754" t="str">
            <v>60850-61030-00</v>
          </cell>
          <cell r="F3754">
            <v>1740.58</v>
          </cell>
        </row>
        <row r="3755">
          <cell r="A3755" t="str">
            <v>60850-61031-00</v>
          </cell>
          <cell r="F3755">
            <v>6031.34</v>
          </cell>
        </row>
        <row r="3756">
          <cell r="A3756" t="str">
            <v>60850-62030-00</v>
          </cell>
          <cell r="F3756">
            <v>2641.26</v>
          </cell>
        </row>
        <row r="3757">
          <cell r="A3757" t="str">
            <v>60850-62032-00</v>
          </cell>
          <cell r="F3757">
            <v>128.38999999999999</v>
          </cell>
        </row>
        <row r="3758">
          <cell r="A3758" t="str">
            <v>60850-63030-00</v>
          </cell>
          <cell r="F3758">
            <v>8215.86</v>
          </cell>
        </row>
        <row r="3759">
          <cell r="A3759" t="str">
            <v>60850-63032-00</v>
          </cell>
          <cell r="F3759">
            <v>16811.95</v>
          </cell>
        </row>
        <row r="3760">
          <cell r="A3760" t="str">
            <v>60850-64032-00</v>
          </cell>
          <cell r="F3760">
            <v>691.62</v>
          </cell>
        </row>
        <row r="3761">
          <cell r="A3761" t="str">
            <v>60850-81001-00</v>
          </cell>
          <cell r="F3761">
            <v>19825.650000000001</v>
          </cell>
        </row>
        <row r="3762">
          <cell r="A3762" t="str">
            <v>60850-81005-00</v>
          </cell>
          <cell r="F3762">
            <v>0</v>
          </cell>
        </row>
        <row r="3763">
          <cell r="A3763" t="str">
            <v>60850-83001-00</v>
          </cell>
          <cell r="F3763">
            <v>41377.82</v>
          </cell>
        </row>
        <row r="3764">
          <cell r="A3764" t="str">
            <v>60850-84001-00</v>
          </cell>
          <cell r="F3764">
            <v>29050.42</v>
          </cell>
        </row>
        <row r="3765">
          <cell r="A3765" t="str">
            <v>60850-85001-00</v>
          </cell>
          <cell r="F3765">
            <v>1552.5</v>
          </cell>
        </row>
        <row r="3766">
          <cell r="A3766" t="str">
            <v>60850-89001-00</v>
          </cell>
          <cell r="F3766">
            <v>0</v>
          </cell>
        </row>
        <row r="3767">
          <cell r="A3767" t="str">
            <v>60900-00000-00</v>
          </cell>
          <cell r="F3767">
            <v>0</v>
          </cell>
        </row>
        <row r="3768">
          <cell r="A3768" t="str">
            <v>60900-11001-00</v>
          </cell>
          <cell r="F3768">
            <v>11651.85</v>
          </cell>
        </row>
        <row r="3769">
          <cell r="A3769" t="str">
            <v>60900-11005-00</v>
          </cell>
          <cell r="F3769">
            <v>0</v>
          </cell>
        </row>
        <row r="3770">
          <cell r="A3770" t="str">
            <v>60900-13006-00</v>
          </cell>
          <cell r="F3770">
            <v>0</v>
          </cell>
        </row>
        <row r="3771">
          <cell r="A3771" t="str">
            <v>60900-13007-00</v>
          </cell>
          <cell r="F3771">
            <v>0</v>
          </cell>
        </row>
        <row r="3772">
          <cell r="A3772" t="str">
            <v>60900-14001-00</v>
          </cell>
          <cell r="F3772">
            <v>536.39</v>
          </cell>
        </row>
        <row r="3773">
          <cell r="A3773" t="str">
            <v>60900-15001-00</v>
          </cell>
          <cell r="F3773">
            <v>1695.67</v>
          </cell>
        </row>
        <row r="3774">
          <cell r="A3774" t="str">
            <v>60900-15005-00</v>
          </cell>
          <cell r="F3774">
            <v>0</v>
          </cell>
        </row>
        <row r="3775">
          <cell r="A3775" t="str">
            <v>60900-31000-00</v>
          </cell>
          <cell r="F3775">
            <v>0</v>
          </cell>
        </row>
        <row r="3776">
          <cell r="A3776" t="str">
            <v>60900-31001-00</v>
          </cell>
          <cell r="F3776">
            <v>10541.06</v>
          </cell>
        </row>
        <row r="3777">
          <cell r="A3777" t="str">
            <v>60900-31010-00</v>
          </cell>
          <cell r="F3777">
            <v>0</v>
          </cell>
        </row>
        <row r="3778">
          <cell r="A3778" t="str">
            <v>60900-31011-00</v>
          </cell>
          <cell r="F3778">
            <v>0</v>
          </cell>
        </row>
        <row r="3779">
          <cell r="A3779" t="str">
            <v>60900-31012-00</v>
          </cell>
          <cell r="F3779">
            <v>0</v>
          </cell>
        </row>
        <row r="3780">
          <cell r="A3780" t="str">
            <v>60900-31016-00</v>
          </cell>
          <cell r="F3780">
            <v>0</v>
          </cell>
        </row>
        <row r="3781">
          <cell r="A3781" t="str">
            <v>60900-31017-00</v>
          </cell>
          <cell r="F3781">
            <v>0</v>
          </cell>
        </row>
        <row r="3782">
          <cell r="A3782" t="str">
            <v>60900-31018-00</v>
          </cell>
          <cell r="F3782">
            <v>0</v>
          </cell>
        </row>
        <row r="3783">
          <cell r="A3783" t="str">
            <v>60900-31019-00</v>
          </cell>
          <cell r="F3783">
            <v>0</v>
          </cell>
        </row>
        <row r="3784">
          <cell r="A3784" t="str">
            <v>60900-31020-00</v>
          </cell>
          <cell r="F3784">
            <v>0</v>
          </cell>
        </row>
        <row r="3785">
          <cell r="A3785" t="str">
            <v>60900-31022-00</v>
          </cell>
          <cell r="F3785">
            <v>0</v>
          </cell>
        </row>
        <row r="3786">
          <cell r="A3786" t="str">
            <v>60900-31023-00</v>
          </cell>
          <cell r="F3786">
            <v>0</v>
          </cell>
        </row>
        <row r="3787">
          <cell r="A3787" t="str">
            <v>60900-31026-00</v>
          </cell>
          <cell r="F3787">
            <v>0</v>
          </cell>
        </row>
        <row r="3788">
          <cell r="A3788" t="str">
            <v>60900-31028-00</v>
          </cell>
          <cell r="F3788">
            <v>0</v>
          </cell>
        </row>
        <row r="3789">
          <cell r="A3789" t="str">
            <v>60900-31029-00</v>
          </cell>
          <cell r="F3789">
            <v>0</v>
          </cell>
        </row>
        <row r="3790">
          <cell r="A3790" t="str">
            <v>60900-31030-00</v>
          </cell>
          <cell r="F3790">
            <v>0</v>
          </cell>
        </row>
        <row r="3791">
          <cell r="A3791" t="str">
            <v>60900-31031-00</v>
          </cell>
          <cell r="F3791">
            <v>0</v>
          </cell>
        </row>
        <row r="3792">
          <cell r="A3792" t="str">
            <v>60900-31032-00</v>
          </cell>
          <cell r="F3792">
            <v>0</v>
          </cell>
        </row>
        <row r="3793">
          <cell r="A3793" t="str">
            <v>60900-31033-00</v>
          </cell>
          <cell r="F3793">
            <v>0</v>
          </cell>
        </row>
        <row r="3794">
          <cell r="A3794" t="str">
            <v>60900-31038-00</v>
          </cell>
          <cell r="F3794">
            <v>0</v>
          </cell>
        </row>
        <row r="3795">
          <cell r="A3795" t="str">
            <v>60900-31039-00</v>
          </cell>
          <cell r="F3795">
            <v>0</v>
          </cell>
        </row>
        <row r="3796">
          <cell r="A3796" t="str">
            <v>60900-31041-00</v>
          </cell>
          <cell r="F3796">
            <v>0</v>
          </cell>
        </row>
        <row r="3797">
          <cell r="A3797" t="str">
            <v>60900-31042-00</v>
          </cell>
          <cell r="F3797">
            <v>0</v>
          </cell>
        </row>
        <row r="3798">
          <cell r="A3798" t="str">
            <v>60900-31043-00</v>
          </cell>
          <cell r="F3798">
            <v>0</v>
          </cell>
        </row>
        <row r="3799">
          <cell r="A3799" t="str">
            <v>60900-31046-00</v>
          </cell>
          <cell r="F3799">
            <v>0</v>
          </cell>
        </row>
        <row r="3800">
          <cell r="A3800" t="str">
            <v>60900-31048-00</v>
          </cell>
          <cell r="F3800">
            <v>0</v>
          </cell>
        </row>
        <row r="3801">
          <cell r="A3801" t="str">
            <v>60900-31055-00</v>
          </cell>
          <cell r="F3801">
            <v>0</v>
          </cell>
        </row>
        <row r="3802">
          <cell r="A3802" t="str">
            <v>60900-31056-00</v>
          </cell>
          <cell r="F3802">
            <v>0</v>
          </cell>
        </row>
        <row r="3803">
          <cell r="A3803" t="str">
            <v>60900-31057-00</v>
          </cell>
          <cell r="F3803">
            <v>0</v>
          </cell>
        </row>
        <row r="3804">
          <cell r="A3804" t="str">
            <v>60900-31058-00</v>
          </cell>
          <cell r="F3804">
            <v>0</v>
          </cell>
        </row>
        <row r="3805">
          <cell r="A3805" t="str">
            <v>60900-31059-00</v>
          </cell>
          <cell r="F3805">
            <v>0</v>
          </cell>
        </row>
        <row r="3806">
          <cell r="A3806" t="str">
            <v>60900-31060-00</v>
          </cell>
          <cell r="F3806">
            <v>0</v>
          </cell>
        </row>
        <row r="3807">
          <cell r="A3807" t="str">
            <v>60900-31061-00</v>
          </cell>
          <cell r="F3807">
            <v>0</v>
          </cell>
        </row>
        <row r="3808">
          <cell r="A3808" t="str">
            <v>60900-31062-00</v>
          </cell>
          <cell r="F3808">
            <v>0</v>
          </cell>
        </row>
        <row r="3809">
          <cell r="A3809" t="str">
            <v>60900-31063-00</v>
          </cell>
          <cell r="F3809">
            <v>0</v>
          </cell>
        </row>
        <row r="3810">
          <cell r="A3810" t="str">
            <v>60900-31064-00</v>
          </cell>
          <cell r="F3810">
            <v>0</v>
          </cell>
        </row>
        <row r="3811">
          <cell r="A3811" t="str">
            <v>60900-31065-00</v>
          </cell>
          <cell r="F3811">
            <v>0</v>
          </cell>
        </row>
        <row r="3812">
          <cell r="A3812" t="str">
            <v>60900-31066-00</v>
          </cell>
          <cell r="F3812">
            <v>0</v>
          </cell>
        </row>
        <row r="3813">
          <cell r="A3813" t="str">
            <v>60900-31067-00</v>
          </cell>
          <cell r="F3813">
            <v>0</v>
          </cell>
        </row>
        <row r="3814">
          <cell r="A3814" t="str">
            <v>60900-31068-00</v>
          </cell>
          <cell r="F3814">
            <v>0</v>
          </cell>
        </row>
        <row r="3815">
          <cell r="A3815" t="str">
            <v>60900-31069-00</v>
          </cell>
          <cell r="F3815">
            <v>0</v>
          </cell>
        </row>
        <row r="3816">
          <cell r="A3816" t="str">
            <v>60900-31070-00</v>
          </cell>
          <cell r="F3816">
            <v>460.71</v>
          </cell>
        </row>
        <row r="3817">
          <cell r="A3817" t="str">
            <v>60900-31071-00</v>
          </cell>
          <cell r="F3817">
            <v>0</v>
          </cell>
        </row>
        <row r="3818">
          <cell r="A3818" t="str">
            <v>60900-31072-00</v>
          </cell>
          <cell r="F3818">
            <v>0</v>
          </cell>
        </row>
        <row r="3819">
          <cell r="A3819" t="str">
            <v>60900-31073-00</v>
          </cell>
          <cell r="F3819">
            <v>0</v>
          </cell>
        </row>
        <row r="3820">
          <cell r="A3820" t="str">
            <v>60900-31074-00</v>
          </cell>
          <cell r="F3820">
            <v>0</v>
          </cell>
        </row>
        <row r="3821">
          <cell r="A3821" t="str">
            <v>60900-31075-00</v>
          </cell>
          <cell r="F3821">
            <v>0</v>
          </cell>
        </row>
        <row r="3822">
          <cell r="A3822" t="str">
            <v>60900-31076-00</v>
          </cell>
          <cell r="F3822">
            <v>0</v>
          </cell>
        </row>
        <row r="3823">
          <cell r="A3823" t="str">
            <v>60900-31077-00</v>
          </cell>
          <cell r="F3823">
            <v>0</v>
          </cell>
        </row>
        <row r="3824">
          <cell r="A3824" t="str">
            <v>60900-31078-00</v>
          </cell>
          <cell r="F3824">
            <v>0</v>
          </cell>
        </row>
        <row r="3825">
          <cell r="A3825" t="str">
            <v>60900-41001-00</v>
          </cell>
          <cell r="F3825">
            <v>37938.89</v>
          </cell>
        </row>
        <row r="3826">
          <cell r="A3826" t="str">
            <v>60900-41002-00</v>
          </cell>
          <cell r="F3826">
            <v>24703.77</v>
          </cell>
        </row>
        <row r="3827">
          <cell r="A3827" t="str">
            <v>60900-41003-00</v>
          </cell>
          <cell r="F3827">
            <v>21596.68</v>
          </cell>
        </row>
        <row r="3828">
          <cell r="A3828" t="str">
            <v>60900-41004-00</v>
          </cell>
          <cell r="F3828">
            <v>20104.669999999998</v>
          </cell>
        </row>
        <row r="3829">
          <cell r="A3829" t="str">
            <v>60900-41005-00</v>
          </cell>
          <cell r="F3829">
            <v>16609.060000000001</v>
          </cell>
        </row>
        <row r="3830">
          <cell r="A3830" t="str">
            <v>60900-41009-00</v>
          </cell>
          <cell r="F3830">
            <v>15411.91</v>
          </cell>
        </row>
        <row r="3831">
          <cell r="A3831" t="str">
            <v>60900-41029-00</v>
          </cell>
          <cell r="F3831">
            <v>12469.06</v>
          </cell>
        </row>
        <row r="3832">
          <cell r="A3832" t="str">
            <v>60900-41030-00</v>
          </cell>
          <cell r="F3832">
            <v>8154.07</v>
          </cell>
        </row>
        <row r="3833">
          <cell r="A3833" t="str">
            <v>60900-41031-00</v>
          </cell>
          <cell r="F3833">
            <v>961.2</v>
          </cell>
        </row>
        <row r="3834">
          <cell r="A3834" t="str">
            <v>60900-41032-00</v>
          </cell>
          <cell r="F3834">
            <v>1934.61</v>
          </cell>
        </row>
        <row r="3835">
          <cell r="A3835" t="str">
            <v>60900-41041-00</v>
          </cell>
          <cell r="F3835">
            <v>2237.73</v>
          </cell>
        </row>
        <row r="3836">
          <cell r="A3836" t="str">
            <v>60900-41049-00</v>
          </cell>
          <cell r="F3836">
            <v>5509.13</v>
          </cell>
        </row>
        <row r="3837">
          <cell r="A3837" t="str">
            <v>60900-41052-00</v>
          </cell>
          <cell r="F3837">
            <v>0</v>
          </cell>
        </row>
        <row r="3838">
          <cell r="A3838" t="str">
            <v>60900-43001-00</v>
          </cell>
          <cell r="F3838">
            <v>5877.07</v>
          </cell>
        </row>
        <row r="3839">
          <cell r="A3839" t="str">
            <v>60900-43002-00</v>
          </cell>
          <cell r="F3839">
            <v>3570.53</v>
          </cell>
        </row>
        <row r="3840">
          <cell r="A3840" t="str">
            <v>60900-43003-00</v>
          </cell>
          <cell r="F3840">
            <v>1540.13</v>
          </cell>
        </row>
        <row r="3841">
          <cell r="A3841" t="str">
            <v>60900-43005-00</v>
          </cell>
          <cell r="F3841">
            <v>1893.75</v>
          </cell>
        </row>
        <row r="3842">
          <cell r="A3842" t="str">
            <v>60900-43009-00</v>
          </cell>
          <cell r="F3842">
            <v>820.69</v>
          </cell>
        </row>
        <row r="3843">
          <cell r="A3843" t="str">
            <v>60900-43029-00</v>
          </cell>
          <cell r="F3843">
            <v>864.9</v>
          </cell>
        </row>
        <row r="3844">
          <cell r="A3844" t="str">
            <v>60900-43030-00</v>
          </cell>
          <cell r="F3844">
            <v>2136.12</v>
          </cell>
        </row>
        <row r="3845">
          <cell r="A3845" t="str">
            <v>60900-43031-00</v>
          </cell>
          <cell r="F3845">
            <v>1970.44</v>
          </cell>
        </row>
        <row r="3846">
          <cell r="A3846" t="str">
            <v>60900-43032-00</v>
          </cell>
          <cell r="F3846">
            <v>830.39</v>
          </cell>
        </row>
        <row r="3847">
          <cell r="A3847" t="str">
            <v>60900-43041-00</v>
          </cell>
          <cell r="F3847">
            <v>11075.02</v>
          </cell>
        </row>
        <row r="3848">
          <cell r="A3848" t="str">
            <v>60900-43052-00</v>
          </cell>
          <cell r="F3848">
            <v>0</v>
          </cell>
        </row>
        <row r="3849">
          <cell r="A3849" t="str">
            <v>60900-45001-00</v>
          </cell>
          <cell r="F3849">
            <v>1592.03</v>
          </cell>
        </row>
        <row r="3850">
          <cell r="A3850" t="str">
            <v>60900-45002-00</v>
          </cell>
          <cell r="F3850">
            <v>15167.39</v>
          </cell>
        </row>
        <row r="3851">
          <cell r="A3851" t="str">
            <v>60900-45003-00</v>
          </cell>
          <cell r="F3851">
            <v>0</v>
          </cell>
        </row>
        <row r="3852">
          <cell r="A3852" t="str">
            <v>60900-45005-00</v>
          </cell>
          <cell r="F3852">
            <v>1006.73</v>
          </cell>
        </row>
        <row r="3853">
          <cell r="A3853" t="str">
            <v>60900-45009-00</v>
          </cell>
          <cell r="F3853">
            <v>0</v>
          </cell>
        </row>
        <row r="3854">
          <cell r="A3854" t="str">
            <v>60900-45029-00</v>
          </cell>
          <cell r="F3854">
            <v>1850.16</v>
          </cell>
        </row>
        <row r="3855">
          <cell r="A3855" t="str">
            <v>60900-45030-00</v>
          </cell>
          <cell r="F3855">
            <v>231.82</v>
          </cell>
        </row>
        <row r="3856">
          <cell r="A3856" t="str">
            <v>60900-45031-00</v>
          </cell>
          <cell r="F3856">
            <v>881.79</v>
          </cell>
        </row>
        <row r="3857">
          <cell r="A3857" t="str">
            <v>60900-45032-00</v>
          </cell>
          <cell r="F3857">
            <v>337.24</v>
          </cell>
        </row>
        <row r="3858">
          <cell r="A3858" t="str">
            <v>60900-45052-00</v>
          </cell>
          <cell r="F3858">
            <v>0</v>
          </cell>
        </row>
        <row r="3859">
          <cell r="A3859" t="str">
            <v>60900-51001-00</v>
          </cell>
          <cell r="F3859">
            <v>207553.6</v>
          </cell>
        </row>
        <row r="3860">
          <cell r="A3860" t="str">
            <v>60900-51005-00</v>
          </cell>
          <cell r="F3860">
            <v>0</v>
          </cell>
        </row>
        <row r="3861">
          <cell r="A3861" t="str">
            <v>60900-53001-00</v>
          </cell>
          <cell r="F3861">
            <v>0</v>
          </cell>
        </row>
        <row r="3862">
          <cell r="A3862" t="str">
            <v>60900-61030-00</v>
          </cell>
          <cell r="F3862">
            <v>237.19</v>
          </cell>
        </row>
        <row r="3863">
          <cell r="A3863" t="str">
            <v>60900-61031-00</v>
          </cell>
          <cell r="F3863">
            <v>2952.13</v>
          </cell>
        </row>
        <row r="3864">
          <cell r="A3864" t="str">
            <v>60900-62030-00</v>
          </cell>
          <cell r="F3864">
            <v>1389.17</v>
          </cell>
        </row>
        <row r="3865">
          <cell r="A3865" t="str">
            <v>60900-62032-00</v>
          </cell>
          <cell r="F3865">
            <v>574.45000000000005</v>
          </cell>
        </row>
        <row r="3866">
          <cell r="A3866" t="str">
            <v>60900-63030-00</v>
          </cell>
          <cell r="F3866">
            <v>12244.22</v>
          </cell>
        </row>
        <row r="3867">
          <cell r="A3867" t="str">
            <v>60900-63032-00</v>
          </cell>
          <cell r="F3867">
            <v>6313.48</v>
          </cell>
        </row>
        <row r="3868">
          <cell r="A3868" t="str">
            <v>60900-64032-00</v>
          </cell>
          <cell r="F3868">
            <v>2321.96</v>
          </cell>
        </row>
        <row r="3869">
          <cell r="A3869" t="str">
            <v>60900-81001-00</v>
          </cell>
          <cell r="F3869">
            <v>13670.05</v>
          </cell>
        </row>
        <row r="3870">
          <cell r="A3870" t="str">
            <v>60900-81005-00</v>
          </cell>
          <cell r="F3870">
            <v>0</v>
          </cell>
        </row>
        <row r="3871">
          <cell r="A3871" t="str">
            <v>60900-83001-00</v>
          </cell>
          <cell r="F3871">
            <v>80737.56</v>
          </cell>
        </row>
        <row r="3872">
          <cell r="A3872" t="str">
            <v>60900-84001-00</v>
          </cell>
          <cell r="F3872">
            <v>695.54</v>
          </cell>
        </row>
        <row r="3873">
          <cell r="A3873" t="str">
            <v>60900-85001-00</v>
          </cell>
          <cell r="F3873">
            <v>570538.81000000006</v>
          </cell>
        </row>
        <row r="3874">
          <cell r="A3874" t="str">
            <v>60950-00000-00</v>
          </cell>
          <cell r="F3874">
            <v>0</v>
          </cell>
        </row>
        <row r="3875">
          <cell r="A3875" t="str">
            <v>60950-11001-00</v>
          </cell>
          <cell r="F3875">
            <v>3783.51</v>
          </cell>
        </row>
        <row r="3876">
          <cell r="A3876" t="str">
            <v>60950-11005-00</v>
          </cell>
          <cell r="F3876">
            <v>0</v>
          </cell>
        </row>
        <row r="3877">
          <cell r="A3877" t="str">
            <v>60950-13006-00</v>
          </cell>
          <cell r="F3877">
            <v>0</v>
          </cell>
        </row>
        <row r="3878">
          <cell r="A3878" t="str">
            <v>60950-13007-00</v>
          </cell>
          <cell r="F3878">
            <v>0</v>
          </cell>
        </row>
        <row r="3879">
          <cell r="A3879" t="str">
            <v>60950-14001-00</v>
          </cell>
          <cell r="F3879">
            <v>156.38</v>
          </cell>
        </row>
        <row r="3880">
          <cell r="A3880" t="str">
            <v>60950-15001-00</v>
          </cell>
          <cell r="F3880">
            <v>2499.15</v>
          </cell>
        </row>
        <row r="3881">
          <cell r="A3881" t="str">
            <v>60950-15005-00</v>
          </cell>
          <cell r="F3881">
            <v>0</v>
          </cell>
        </row>
        <row r="3882">
          <cell r="A3882" t="str">
            <v>60950-31000-00</v>
          </cell>
          <cell r="F3882">
            <v>0</v>
          </cell>
        </row>
        <row r="3883">
          <cell r="A3883" t="str">
            <v>60950-31001-00</v>
          </cell>
          <cell r="F3883">
            <v>466.64</v>
          </cell>
        </row>
        <row r="3884">
          <cell r="A3884" t="str">
            <v>60950-31041-00</v>
          </cell>
          <cell r="F3884">
            <v>0</v>
          </cell>
        </row>
        <row r="3885">
          <cell r="A3885" t="str">
            <v>60950-41001-00</v>
          </cell>
          <cell r="F3885">
            <v>1677.71</v>
          </cell>
        </row>
        <row r="3886">
          <cell r="A3886" t="str">
            <v>60950-41002-00</v>
          </cell>
          <cell r="F3886">
            <v>2889.09</v>
          </cell>
        </row>
        <row r="3887">
          <cell r="A3887" t="str">
            <v>60950-41003-00</v>
          </cell>
          <cell r="F3887">
            <v>7002.61</v>
          </cell>
        </row>
        <row r="3888">
          <cell r="A3888" t="str">
            <v>60950-41004-00</v>
          </cell>
          <cell r="F3888">
            <v>3577.46</v>
          </cell>
        </row>
        <row r="3889">
          <cell r="A3889" t="str">
            <v>60950-41005-00</v>
          </cell>
          <cell r="F3889">
            <v>112.06</v>
          </cell>
        </row>
        <row r="3890">
          <cell r="A3890" t="str">
            <v>60950-41009-00</v>
          </cell>
          <cell r="F3890">
            <v>106.83</v>
          </cell>
        </row>
        <row r="3891">
          <cell r="A3891" t="str">
            <v>60950-41029-00</v>
          </cell>
          <cell r="F3891">
            <v>744.63</v>
          </cell>
        </row>
        <row r="3892">
          <cell r="A3892" t="str">
            <v>60950-41030-00</v>
          </cell>
          <cell r="F3892">
            <v>372.37</v>
          </cell>
        </row>
        <row r="3893">
          <cell r="A3893" t="str">
            <v>60950-41031-00</v>
          </cell>
          <cell r="F3893">
            <v>1169.71</v>
          </cell>
        </row>
        <row r="3894">
          <cell r="A3894" t="str">
            <v>60950-41032-00</v>
          </cell>
          <cell r="F3894">
            <v>324.20999999999998</v>
          </cell>
        </row>
        <row r="3895">
          <cell r="A3895" t="str">
            <v>60950-41041-00</v>
          </cell>
          <cell r="F3895">
            <v>6.99</v>
          </cell>
        </row>
        <row r="3896">
          <cell r="A3896" t="str">
            <v>60950-41049-00</v>
          </cell>
          <cell r="F3896">
            <v>3663.78</v>
          </cell>
        </row>
        <row r="3897">
          <cell r="A3897" t="str">
            <v>60950-41052-00</v>
          </cell>
          <cell r="F3897">
            <v>0</v>
          </cell>
        </row>
        <row r="3898">
          <cell r="A3898" t="str">
            <v>60950-43001-00</v>
          </cell>
          <cell r="F3898">
            <v>2419.11</v>
          </cell>
        </row>
        <row r="3899">
          <cell r="A3899" t="str">
            <v>60950-43002-00</v>
          </cell>
          <cell r="F3899">
            <v>1801.02</v>
          </cell>
        </row>
        <row r="3900">
          <cell r="A3900" t="str">
            <v>60950-43003-00</v>
          </cell>
          <cell r="F3900">
            <v>515.75</v>
          </cell>
        </row>
        <row r="3901">
          <cell r="A3901" t="str">
            <v>60950-43005-00</v>
          </cell>
          <cell r="F3901">
            <v>2504.37</v>
          </cell>
        </row>
        <row r="3902">
          <cell r="A3902" t="str">
            <v>60950-43009-00</v>
          </cell>
          <cell r="F3902">
            <v>1841.85</v>
          </cell>
        </row>
        <row r="3903">
          <cell r="A3903" t="str">
            <v>60950-43029-00</v>
          </cell>
          <cell r="F3903">
            <v>116.48</v>
          </cell>
        </row>
        <row r="3904">
          <cell r="A3904" t="str">
            <v>60950-43030-00</v>
          </cell>
          <cell r="F3904">
            <v>1845.52</v>
          </cell>
        </row>
        <row r="3905">
          <cell r="A3905" t="str">
            <v>60950-43031-00</v>
          </cell>
          <cell r="F3905">
            <v>164.75</v>
          </cell>
        </row>
        <row r="3906">
          <cell r="A3906" t="str">
            <v>60950-43032-00</v>
          </cell>
          <cell r="F3906">
            <v>0</v>
          </cell>
        </row>
        <row r="3907">
          <cell r="A3907" t="str">
            <v>60950-43041-00</v>
          </cell>
          <cell r="F3907">
            <v>2330.84</v>
          </cell>
        </row>
        <row r="3908">
          <cell r="A3908" t="str">
            <v>60950-43052-00</v>
          </cell>
          <cell r="F3908">
            <v>0</v>
          </cell>
        </row>
        <row r="3909">
          <cell r="A3909" t="str">
            <v>60950-45001-00</v>
          </cell>
          <cell r="F3909">
            <v>200.24</v>
          </cell>
        </row>
        <row r="3910">
          <cell r="A3910" t="str">
            <v>60950-45002-00</v>
          </cell>
          <cell r="F3910">
            <v>5491.12</v>
          </cell>
        </row>
        <row r="3911">
          <cell r="A3911" t="str">
            <v>60950-45003-00</v>
          </cell>
          <cell r="F3911">
            <v>0</v>
          </cell>
        </row>
        <row r="3912">
          <cell r="A3912" t="str">
            <v>60950-45005-00</v>
          </cell>
          <cell r="F3912">
            <v>213.98</v>
          </cell>
        </row>
        <row r="3913">
          <cell r="A3913" t="str">
            <v>60950-45009-00</v>
          </cell>
          <cell r="F3913">
            <v>0</v>
          </cell>
        </row>
        <row r="3914">
          <cell r="A3914" t="str">
            <v>60950-45029-00</v>
          </cell>
          <cell r="F3914">
            <v>1127.2</v>
          </cell>
        </row>
        <row r="3915">
          <cell r="A3915" t="str">
            <v>60950-45030-00</v>
          </cell>
          <cell r="F3915">
            <v>98.37</v>
          </cell>
        </row>
        <row r="3916">
          <cell r="A3916" t="str">
            <v>60950-45031-00</v>
          </cell>
          <cell r="F3916">
            <v>7.64</v>
          </cell>
        </row>
        <row r="3917">
          <cell r="A3917" t="str">
            <v>60950-45032-00</v>
          </cell>
          <cell r="F3917">
            <v>0</v>
          </cell>
        </row>
        <row r="3918">
          <cell r="A3918" t="str">
            <v>60950-45052-00</v>
          </cell>
          <cell r="F3918">
            <v>0</v>
          </cell>
        </row>
        <row r="3919">
          <cell r="A3919" t="str">
            <v>60950-51001-00</v>
          </cell>
          <cell r="F3919">
            <v>15116.45</v>
          </cell>
        </row>
        <row r="3920">
          <cell r="A3920" t="str">
            <v>60950-51005-00</v>
          </cell>
          <cell r="F3920">
            <v>0</v>
          </cell>
        </row>
        <row r="3921">
          <cell r="A3921" t="str">
            <v>60950-53001-00</v>
          </cell>
          <cell r="F3921">
            <v>0</v>
          </cell>
        </row>
        <row r="3922">
          <cell r="A3922" t="str">
            <v>60950-61030-00</v>
          </cell>
          <cell r="F3922">
            <v>63.94</v>
          </cell>
        </row>
        <row r="3923">
          <cell r="A3923" t="str">
            <v>60950-61031-00</v>
          </cell>
          <cell r="F3923">
            <v>3234.09</v>
          </cell>
        </row>
        <row r="3924">
          <cell r="A3924" t="str">
            <v>60950-62030-00</v>
          </cell>
          <cell r="F3924">
            <v>1534.66</v>
          </cell>
        </row>
        <row r="3925">
          <cell r="A3925" t="str">
            <v>60950-62032-00</v>
          </cell>
          <cell r="F3925">
            <v>0</v>
          </cell>
        </row>
        <row r="3926">
          <cell r="A3926" t="str">
            <v>60950-63030-00</v>
          </cell>
          <cell r="F3926">
            <v>514.79999999999995</v>
          </cell>
        </row>
        <row r="3927">
          <cell r="A3927" t="str">
            <v>60950-63032-00</v>
          </cell>
          <cell r="F3927">
            <v>1823.37</v>
          </cell>
        </row>
        <row r="3928">
          <cell r="A3928" t="str">
            <v>60950-64032-00</v>
          </cell>
          <cell r="F3928">
            <v>0</v>
          </cell>
        </row>
        <row r="3929">
          <cell r="A3929" t="str">
            <v>60950-81001-00</v>
          </cell>
          <cell r="F3929">
            <v>5808.58</v>
          </cell>
        </row>
        <row r="3930">
          <cell r="A3930" t="str">
            <v>60950-81005-00</v>
          </cell>
          <cell r="F3930">
            <v>0</v>
          </cell>
        </row>
        <row r="3931">
          <cell r="A3931" t="str">
            <v>60950-83001-00</v>
          </cell>
          <cell r="F3931">
            <v>44619.71</v>
          </cell>
        </row>
        <row r="3932">
          <cell r="A3932" t="str">
            <v>60950-84001-00</v>
          </cell>
          <cell r="F3932">
            <v>1384.31</v>
          </cell>
        </row>
        <row r="3933">
          <cell r="A3933" t="str">
            <v>60950-85001-00</v>
          </cell>
          <cell r="F3933">
            <v>3427.1</v>
          </cell>
        </row>
        <row r="3934">
          <cell r="A3934" t="str">
            <v>61000-00000-00</v>
          </cell>
          <cell r="F3934">
            <v>0</v>
          </cell>
        </row>
        <row r="3935">
          <cell r="A3935" t="str">
            <v>61000-11001-00</v>
          </cell>
          <cell r="F3935">
            <v>123482.97</v>
          </cell>
        </row>
        <row r="3936">
          <cell r="A3936" t="str">
            <v>61000-11005-00</v>
          </cell>
          <cell r="F3936">
            <v>0</v>
          </cell>
        </row>
        <row r="3937">
          <cell r="A3937" t="str">
            <v>61000-13006-00</v>
          </cell>
          <cell r="F3937">
            <v>0</v>
          </cell>
        </row>
        <row r="3938">
          <cell r="A3938" t="str">
            <v>61000-13007-00</v>
          </cell>
          <cell r="F3938">
            <v>0</v>
          </cell>
        </row>
        <row r="3939">
          <cell r="A3939" t="str">
            <v>61000-14001-00</v>
          </cell>
          <cell r="F3939">
            <v>1571.87</v>
          </cell>
        </row>
        <row r="3940">
          <cell r="A3940" t="str">
            <v>61000-15001-00</v>
          </cell>
          <cell r="F3940">
            <v>20912.87</v>
          </cell>
        </row>
        <row r="3941">
          <cell r="A3941" t="str">
            <v>61000-15005-00</v>
          </cell>
          <cell r="F3941">
            <v>0</v>
          </cell>
        </row>
        <row r="3942">
          <cell r="A3942" t="str">
            <v>61000-31000-00</v>
          </cell>
          <cell r="F3942">
            <v>0</v>
          </cell>
        </row>
        <row r="3943">
          <cell r="A3943" t="str">
            <v>61000-31001-00</v>
          </cell>
          <cell r="F3943">
            <v>719.97</v>
          </cell>
        </row>
        <row r="3944">
          <cell r="A3944" t="str">
            <v>61000-31028-00</v>
          </cell>
          <cell r="F3944">
            <v>3000</v>
          </cell>
        </row>
        <row r="3945">
          <cell r="A3945" t="str">
            <v>61000-41001-00</v>
          </cell>
          <cell r="F3945">
            <v>-1801.25</v>
          </cell>
        </row>
        <row r="3946">
          <cell r="A3946" t="str">
            <v>61000-41002-00</v>
          </cell>
          <cell r="F3946">
            <v>834</v>
          </cell>
        </row>
        <row r="3947">
          <cell r="A3947" t="str">
            <v>61000-41003-00</v>
          </cell>
          <cell r="F3947">
            <v>907.55</v>
          </cell>
        </row>
        <row r="3948">
          <cell r="A3948" t="str">
            <v>61000-41004-00</v>
          </cell>
          <cell r="F3948">
            <v>362</v>
          </cell>
        </row>
        <row r="3949">
          <cell r="A3949" t="str">
            <v>61000-41005-00</v>
          </cell>
          <cell r="F3949">
            <v>107.66</v>
          </cell>
        </row>
        <row r="3950">
          <cell r="A3950" t="str">
            <v>61000-41009-00</v>
          </cell>
          <cell r="F3950">
            <v>0</v>
          </cell>
        </row>
        <row r="3951">
          <cell r="A3951" t="str">
            <v>61000-41029-00</v>
          </cell>
          <cell r="F3951">
            <v>0</v>
          </cell>
        </row>
        <row r="3952">
          <cell r="A3952" t="str">
            <v>61000-41030-00</v>
          </cell>
          <cell r="F3952">
            <v>779.07</v>
          </cell>
        </row>
        <row r="3953">
          <cell r="A3953" t="str">
            <v>61000-41031-00</v>
          </cell>
          <cell r="F3953">
            <v>589.07000000000005</v>
          </cell>
        </row>
        <row r="3954">
          <cell r="A3954" t="str">
            <v>61000-41032-00</v>
          </cell>
          <cell r="F3954">
            <v>0</v>
          </cell>
        </row>
        <row r="3955">
          <cell r="A3955" t="str">
            <v>61000-41041-00</v>
          </cell>
          <cell r="F3955">
            <v>0</v>
          </cell>
        </row>
        <row r="3956">
          <cell r="A3956" t="str">
            <v>61000-41049-00</v>
          </cell>
          <cell r="F3956">
            <v>0</v>
          </cell>
        </row>
        <row r="3957">
          <cell r="A3957" t="str">
            <v>61000-41052-00</v>
          </cell>
          <cell r="F3957">
            <v>0</v>
          </cell>
        </row>
        <row r="3958">
          <cell r="A3958" t="str">
            <v>61000-43001-00</v>
          </cell>
          <cell r="F3958">
            <v>70</v>
          </cell>
        </row>
        <row r="3959">
          <cell r="A3959" t="str">
            <v>61000-43002-00</v>
          </cell>
          <cell r="F3959">
            <v>0</v>
          </cell>
        </row>
        <row r="3960">
          <cell r="A3960" t="str">
            <v>61000-43003-00</v>
          </cell>
          <cell r="F3960">
            <v>0</v>
          </cell>
        </row>
        <row r="3961">
          <cell r="A3961" t="str">
            <v>61000-43005-00</v>
          </cell>
          <cell r="F3961">
            <v>667</v>
          </cell>
        </row>
        <row r="3962">
          <cell r="A3962" t="str">
            <v>61000-43009-00</v>
          </cell>
          <cell r="F3962">
            <v>0</v>
          </cell>
        </row>
        <row r="3963">
          <cell r="A3963" t="str">
            <v>61000-43029-00</v>
          </cell>
          <cell r="F3963">
            <v>0</v>
          </cell>
        </row>
        <row r="3964">
          <cell r="A3964" t="str">
            <v>61000-43030-00</v>
          </cell>
          <cell r="F3964">
            <v>811.66</v>
          </cell>
        </row>
        <row r="3965">
          <cell r="A3965" t="str">
            <v>61000-43031-00</v>
          </cell>
          <cell r="F3965">
            <v>686.66</v>
          </cell>
        </row>
        <row r="3966">
          <cell r="A3966" t="str">
            <v>61000-43032-00</v>
          </cell>
          <cell r="F3966">
            <v>532.59</v>
          </cell>
        </row>
        <row r="3967">
          <cell r="A3967" t="str">
            <v>61000-43041-00</v>
          </cell>
          <cell r="F3967">
            <v>120</v>
          </cell>
        </row>
        <row r="3968">
          <cell r="A3968" t="str">
            <v>61000-43052-00</v>
          </cell>
          <cell r="F3968">
            <v>0</v>
          </cell>
        </row>
        <row r="3969">
          <cell r="A3969" t="str">
            <v>61000-45001-00</v>
          </cell>
          <cell r="F3969">
            <v>20</v>
          </cell>
        </row>
        <row r="3970">
          <cell r="A3970" t="str">
            <v>61000-45002-00</v>
          </cell>
          <cell r="F3970">
            <v>259.88</v>
          </cell>
        </row>
        <row r="3971">
          <cell r="A3971" t="str">
            <v>61000-45003-00</v>
          </cell>
          <cell r="F3971">
            <v>0</v>
          </cell>
        </row>
        <row r="3972">
          <cell r="A3972" t="str">
            <v>61000-45005-00</v>
          </cell>
          <cell r="F3972">
            <v>500</v>
          </cell>
        </row>
        <row r="3973">
          <cell r="A3973" t="str">
            <v>61000-45009-00</v>
          </cell>
          <cell r="F3973">
            <v>0</v>
          </cell>
        </row>
        <row r="3974">
          <cell r="A3974" t="str">
            <v>61000-45029-00</v>
          </cell>
          <cell r="F3974">
            <v>0</v>
          </cell>
        </row>
        <row r="3975">
          <cell r="A3975" t="str">
            <v>61000-45030-00</v>
          </cell>
          <cell r="F3975">
            <v>26.33</v>
          </cell>
        </row>
        <row r="3976">
          <cell r="A3976" t="str">
            <v>61000-45031-00</v>
          </cell>
          <cell r="F3976">
            <v>0</v>
          </cell>
        </row>
        <row r="3977">
          <cell r="A3977" t="str">
            <v>61000-45032-00</v>
          </cell>
          <cell r="F3977">
            <v>0</v>
          </cell>
        </row>
        <row r="3978">
          <cell r="A3978" t="str">
            <v>61000-45052-00</v>
          </cell>
          <cell r="F3978">
            <v>0</v>
          </cell>
        </row>
        <row r="3979">
          <cell r="A3979" t="str">
            <v>61000-51001-00</v>
          </cell>
          <cell r="F3979">
            <v>21074.91</v>
          </cell>
        </row>
        <row r="3980">
          <cell r="A3980" t="str">
            <v>61000-51005-00</v>
          </cell>
          <cell r="F3980">
            <v>0</v>
          </cell>
        </row>
        <row r="3981">
          <cell r="A3981" t="str">
            <v>61000-53001-00</v>
          </cell>
          <cell r="F3981">
            <v>0</v>
          </cell>
        </row>
        <row r="3982">
          <cell r="A3982" t="str">
            <v>61000-61030-00</v>
          </cell>
          <cell r="F3982">
            <v>305.39999999999998</v>
          </cell>
        </row>
        <row r="3983">
          <cell r="A3983" t="str">
            <v>61000-61031-00</v>
          </cell>
          <cell r="F3983">
            <v>458.14</v>
          </cell>
        </row>
        <row r="3984">
          <cell r="A3984" t="str">
            <v>61000-62030-00</v>
          </cell>
          <cell r="F3984">
            <v>385.89</v>
          </cell>
        </row>
        <row r="3985">
          <cell r="A3985" t="str">
            <v>61000-62032-00</v>
          </cell>
          <cell r="F3985">
            <v>0</v>
          </cell>
        </row>
        <row r="3986">
          <cell r="A3986" t="str">
            <v>61000-63030-00</v>
          </cell>
          <cell r="F3986">
            <v>11356.66</v>
          </cell>
        </row>
        <row r="3987">
          <cell r="A3987" t="str">
            <v>61000-63032-00</v>
          </cell>
          <cell r="F3987">
            <v>804.07</v>
          </cell>
        </row>
        <row r="3988">
          <cell r="A3988" t="str">
            <v>61000-64032-00</v>
          </cell>
          <cell r="F3988">
            <v>0</v>
          </cell>
        </row>
        <row r="3989">
          <cell r="A3989" t="str">
            <v>61000-81001-00</v>
          </cell>
          <cell r="F3989">
            <v>699</v>
          </cell>
        </row>
        <row r="3990">
          <cell r="A3990" t="str">
            <v>61000-81005-00</v>
          </cell>
          <cell r="F3990">
            <v>0</v>
          </cell>
        </row>
        <row r="3991">
          <cell r="A3991" t="str">
            <v>61000-83001-00</v>
          </cell>
          <cell r="F3991">
            <v>46794.95</v>
          </cell>
        </row>
        <row r="3992">
          <cell r="A3992" t="str">
            <v>61000-84001-00</v>
          </cell>
          <cell r="F3992">
            <v>3509</v>
          </cell>
        </row>
        <row r="3993">
          <cell r="A3993" t="str">
            <v>61000-85001-00</v>
          </cell>
          <cell r="F3993">
            <v>0</v>
          </cell>
        </row>
        <row r="3994">
          <cell r="A3994" t="str">
            <v>61050-00000-00</v>
          </cell>
          <cell r="F3994">
            <v>0</v>
          </cell>
        </row>
        <row r="3995">
          <cell r="A3995" t="str">
            <v>61050-11001-00</v>
          </cell>
          <cell r="F3995">
            <v>22</v>
          </cell>
        </row>
        <row r="3996">
          <cell r="A3996" t="str">
            <v>61050-11005-00</v>
          </cell>
          <cell r="F3996">
            <v>0</v>
          </cell>
        </row>
        <row r="3997">
          <cell r="A3997" t="str">
            <v>61050-13006-00</v>
          </cell>
          <cell r="F3997">
            <v>0</v>
          </cell>
        </row>
        <row r="3998">
          <cell r="A3998" t="str">
            <v>61050-13007-00</v>
          </cell>
          <cell r="F3998">
            <v>0</v>
          </cell>
        </row>
        <row r="3999">
          <cell r="A3999" t="str">
            <v>61050-15001-00</v>
          </cell>
          <cell r="F3999">
            <v>84.61</v>
          </cell>
        </row>
        <row r="4000">
          <cell r="A4000" t="str">
            <v>61050-15005-00</v>
          </cell>
          <cell r="F4000">
            <v>0</v>
          </cell>
        </row>
        <row r="4001">
          <cell r="A4001" t="str">
            <v>61050-31000-00</v>
          </cell>
          <cell r="F4001">
            <v>0</v>
          </cell>
        </row>
        <row r="4002">
          <cell r="A4002" t="str">
            <v>61050-31001-00</v>
          </cell>
          <cell r="F4002">
            <v>374.75</v>
          </cell>
        </row>
        <row r="4003">
          <cell r="A4003" t="str">
            <v>61050-41001-00</v>
          </cell>
          <cell r="F4003">
            <v>0</v>
          </cell>
        </row>
        <row r="4004">
          <cell r="A4004" t="str">
            <v>61050-41002-00</v>
          </cell>
          <cell r="F4004">
            <v>984.95</v>
          </cell>
        </row>
        <row r="4005">
          <cell r="A4005" t="str">
            <v>61050-41003-00</v>
          </cell>
          <cell r="F4005">
            <v>2862.59</v>
          </cell>
        </row>
        <row r="4006">
          <cell r="A4006" t="str">
            <v>61050-41004-00</v>
          </cell>
          <cell r="F4006">
            <v>2557.33</v>
          </cell>
        </row>
        <row r="4007">
          <cell r="A4007" t="str">
            <v>61050-41005-00</v>
          </cell>
          <cell r="F4007">
            <v>37.25</v>
          </cell>
        </row>
        <row r="4008">
          <cell r="A4008" t="str">
            <v>61050-41009-00</v>
          </cell>
          <cell r="F4008">
            <v>0</v>
          </cell>
        </row>
        <row r="4009">
          <cell r="A4009" t="str">
            <v>61050-41029-00</v>
          </cell>
          <cell r="F4009">
            <v>0</v>
          </cell>
        </row>
        <row r="4010">
          <cell r="A4010" t="str">
            <v>61050-41030-00</v>
          </cell>
          <cell r="F4010">
            <v>587.17999999999995</v>
          </cell>
        </row>
        <row r="4011">
          <cell r="A4011" t="str">
            <v>61050-41031-00</v>
          </cell>
          <cell r="F4011">
            <v>939.89</v>
          </cell>
        </row>
        <row r="4012">
          <cell r="A4012" t="str">
            <v>61050-41032-00</v>
          </cell>
          <cell r="F4012">
            <v>482.39</v>
          </cell>
        </row>
        <row r="4013">
          <cell r="A4013" t="str">
            <v>61050-41041-00</v>
          </cell>
          <cell r="F4013">
            <v>0</v>
          </cell>
        </row>
        <row r="4014">
          <cell r="A4014" t="str">
            <v>61050-41049-00</v>
          </cell>
          <cell r="F4014">
            <v>312</v>
          </cell>
        </row>
        <row r="4015">
          <cell r="A4015" t="str">
            <v>61050-41052-00</v>
          </cell>
          <cell r="F4015">
            <v>0</v>
          </cell>
        </row>
        <row r="4016">
          <cell r="A4016" t="str">
            <v>61050-43001-00</v>
          </cell>
          <cell r="F4016">
            <v>0</v>
          </cell>
        </row>
        <row r="4017">
          <cell r="A4017" t="str">
            <v>61050-43002-00</v>
          </cell>
          <cell r="F4017">
            <v>227.44</v>
          </cell>
        </row>
        <row r="4018">
          <cell r="A4018" t="str">
            <v>61050-43003-00</v>
          </cell>
          <cell r="F4018">
            <v>0</v>
          </cell>
        </row>
        <row r="4019">
          <cell r="A4019" t="str">
            <v>61050-43005-00</v>
          </cell>
          <cell r="F4019">
            <v>1663.83</v>
          </cell>
        </row>
        <row r="4020">
          <cell r="A4020" t="str">
            <v>61050-43009-00</v>
          </cell>
          <cell r="F4020">
            <v>104</v>
          </cell>
        </row>
        <row r="4021">
          <cell r="A4021" t="str">
            <v>61050-43029-00</v>
          </cell>
          <cell r="F4021">
            <v>0</v>
          </cell>
        </row>
        <row r="4022">
          <cell r="A4022" t="str">
            <v>61050-43030-00</v>
          </cell>
          <cell r="F4022">
            <v>850.82</v>
          </cell>
        </row>
        <row r="4023">
          <cell r="A4023" t="str">
            <v>61050-43031-00</v>
          </cell>
          <cell r="F4023">
            <v>729.59</v>
          </cell>
        </row>
        <row r="4024">
          <cell r="A4024" t="str">
            <v>61050-43032-00</v>
          </cell>
          <cell r="F4024">
            <v>421.69</v>
          </cell>
        </row>
        <row r="4025">
          <cell r="A4025" t="str">
            <v>61050-43041-00</v>
          </cell>
          <cell r="F4025">
            <v>736.69</v>
          </cell>
        </row>
        <row r="4026">
          <cell r="A4026" t="str">
            <v>61050-43052-00</v>
          </cell>
          <cell r="F4026">
            <v>0</v>
          </cell>
        </row>
        <row r="4027">
          <cell r="A4027" t="str">
            <v>61050-45001-00</v>
          </cell>
          <cell r="F4027">
            <v>17978.96</v>
          </cell>
        </row>
        <row r="4028">
          <cell r="A4028" t="str">
            <v>61050-45002-00</v>
          </cell>
          <cell r="F4028">
            <v>6675.96</v>
          </cell>
        </row>
        <row r="4029">
          <cell r="A4029" t="str">
            <v>61050-45003-00</v>
          </cell>
          <cell r="F4029">
            <v>0</v>
          </cell>
        </row>
        <row r="4030">
          <cell r="A4030" t="str">
            <v>61050-45005-00</v>
          </cell>
          <cell r="F4030">
            <v>12593.19</v>
          </cell>
        </row>
        <row r="4031">
          <cell r="A4031" t="str">
            <v>61050-45009-00</v>
          </cell>
          <cell r="F4031">
            <v>0</v>
          </cell>
        </row>
        <row r="4032">
          <cell r="A4032" t="str">
            <v>61050-45029-00</v>
          </cell>
          <cell r="F4032">
            <v>2026.91</v>
          </cell>
        </row>
        <row r="4033">
          <cell r="A4033" t="str">
            <v>61050-45030-00</v>
          </cell>
          <cell r="F4033">
            <v>4148.46</v>
          </cell>
        </row>
        <row r="4034">
          <cell r="A4034" t="str">
            <v>61050-45031-00</v>
          </cell>
          <cell r="F4034">
            <v>200</v>
          </cell>
        </row>
        <row r="4035">
          <cell r="A4035" t="str">
            <v>61050-45032-00</v>
          </cell>
          <cell r="F4035">
            <v>0</v>
          </cell>
        </row>
        <row r="4036">
          <cell r="A4036" t="str">
            <v>61050-45052-00</v>
          </cell>
          <cell r="F4036">
            <v>0</v>
          </cell>
        </row>
        <row r="4037">
          <cell r="A4037" t="str">
            <v>61050-51001-00</v>
          </cell>
          <cell r="F4037">
            <v>509.89</v>
          </cell>
        </row>
        <row r="4038">
          <cell r="A4038" t="str">
            <v>61050-51005-00</v>
          </cell>
          <cell r="F4038">
            <v>0</v>
          </cell>
        </row>
        <row r="4039">
          <cell r="A4039" t="str">
            <v>61050-53001-00</v>
          </cell>
          <cell r="F4039">
            <v>0</v>
          </cell>
        </row>
        <row r="4040">
          <cell r="A4040" t="str">
            <v>61050-61030-00</v>
          </cell>
          <cell r="F4040">
            <v>265.25</v>
          </cell>
        </row>
        <row r="4041">
          <cell r="A4041" t="str">
            <v>61050-61031-00</v>
          </cell>
          <cell r="F4041">
            <v>2644.93</v>
          </cell>
        </row>
        <row r="4042">
          <cell r="A4042" t="str">
            <v>61050-62030-00</v>
          </cell>
          <cell r="F4042">
            <v>900.49</v>
          </cell>
        </row>
        <row r="4043">
          <cell r="A4043" t="str">
            <v>61050-62032-00</v>
          </cell>
          <cell r="F4043">
            <v>0</v>
          </cell>
        </row>
        <row r="4044">
          <cell r="A4044" t="str">
            <v>61050-63030-00</v>
          </cell>
          <cell r="F4044">
            <v>504.57</v>
          </cell>
        </row>
        <row r="4045">
          <cell r="A4045" t="str">
            <v>61050-63032-00</v>
          </cell>
          <cell r="F4045">
            <v>1035.19</v>
          </cell>
        </row>
        <row r="4046">
          <cell r="A4046" t="str">
            <v>61050-64032-00</v>
          </cell>
          <cell r="F4046">
            <v>-8</v>
          </cell>
        </row>
        <row r="4047">
          <cell r="A4047" t="str">
            <v>61050-81001-00</v>
          </cell>
          <cell r="F4047">
            <v>229.28</v>
          </cell>
        </row>
        <row r="4048">
          <cell r="A4048" t="str">
            <v>61050-81005-00</v>
          </cell>
          <cell r="F4048">
            <v>0</v>
          </cell>
        </row>
        <row r="4049">
          <cell r="A4049" t="str">
            <v>61050-83001-00</v>
          </cell>
          <cell r="F4049">
            <v>62069.24</v>
          </cell>
        </row>
        <row r="4050">
          <cell r="A4050" t="str">
            <v>61050-84001-00</v>
          </cell>
          <cell r="F4050">
            <v>154.11000000000001</v>
          </cell>
        </row>
        <row r="4051">
          <cell r="A4051" t="str">
            <v>61050-85001-00</v>
          </cell>
          <cell r="F4051">
            <v>27.55</v>
          </cell>
        </row>
        <row r="4052">
          <cell r="A4052" t="str">
            <v>61100-00000-00</v>
          </cell>
          <cell r="F4052">
            <v>0</v>
          </cell>
        </row>
        <row r="4053">
          <cell r="A4053" t="str">
            <v>61100-11001-00</v>
          </cell>
          <cell r="F4053">
            <v>6987.21</v>
          </cell>
        </row>
        <row r="4054">
          <cell r="A4054" t="str">
            <v>61100-11005-00</v>
          </cell>
          <cell r="F4054">
            <v>0</v>
          </cell>
        </row>
        <row r="4055">
          <cell r="A4055" t="str">
            <v>61100-13006-00</v>
          </cell>
          <cell r="F4055">
            <v>0</v>
          </cell>
        </row>
        <row r="4056">
          <cell r="A4056" t="str">
            <v>61100-13007-00</v>
          </cell>
          <cell r="F4056">
            <v>0</v>
          </cell>
        </row>
        <row r="4057">
          <cell r="A4057" t="str">
            <v>61100-14001-00</v>
          </cell>
          <cell r="F4057">
            <v>2701.24</v>
          </cell>
        </row>
        <row r="4058">
          <cell r="A4058" t="str">
            <v>61100-15001-00</v>
          </cell>
          <cell r="F4058">
            <v>8350.91</v>
          </cell>
        </row>
        <row r="4059">
          <cell r="A4059" t="str">
            <v>61100-15005-00</v>
          </cell>
          <cell r="F4059">
            <v>0</v>
          </cell>
        </row>
        <row r="4060">
          <cell r="A4060" t="str">
            <v>61100-31000-00</v>
          </cell>
          <cell r="F4060">
            <v>0</v>
          </cell>
        </row>
        <row r="4061">
          <cell r="A4061" t="str">
            <v>61100-31001-00</v>
          </cell>
          <cell r="F4061">
            <v>7559.37</v>
          </cell>
        </row>
        <row r="4062">
          <cell r="A4062" t="str">
            <v>61100-31010-00</v>
          </cell>
          <cell r="F4062">
            <v>922.3</v>
          </cell>
        </row>
        <row r="4063">
          <cell r="A4063" t="str">
            <v>61100-31011-00</v>
          </cell>
          <cell r="F4063">
            <v>637.62</v>
          </cell>
        </row>
        <row r="4064">
          <cell r="A4064" t="str">
            <v>61100-31012-00</v>
          </cell>
          <cell r="F4064">
            <v>13859.06</v>
          </cell>
        </row>
        <row r="4065">
          <cell r="A4065" t="str">
            <v>61100-31013-00</v>
          </cell>
          <cell r="F4065">
            <v>610.89</v>
          </cell>
        </row>
        <row r="4066">
          <cell r="A4066" t="str">
            <v>61100-31014-00</v>
          </cell>
          <cell r="F4066">
            <v>0</v>
          </cell>
        </row>
        <row r="4067">
          <cell r="A4067" t="str">
            <v>61100-31015-00</v>
          </cell>
          <cell r="F4067">
            <v>0</v>
          </cell>
        </row>
        <row r="4068">
          <cell r="A4068" t="str">
            <v>61100-31016-00</v>
          </cell>
          <cell r="F4068">
            <v>0</v>
          </cell>
        </row>
        <row r="4069">
          <cell r="A4069" t="str">
            <v>61100-31017-00</v>
          </cell>
          <cell r="F4069">
            <v>617.78</v>
          </cell>
        </row>
        <row r="4070">
          <cell r="A4070" t="str">
            <v>61100-31018-00</v>
          </cell>
          <cell r="F4070">
            <v>1845.18</v>
          </cell>
        </row>
        <row r="4071">
          <cell r="A4071" t="str">
            <v>61100-31019-00</v>
          </cell>
          <cell r="F4071">
            <v>3850.61</v>
          </cell>
        </row>
        <row r="4072">
          <cell r="A4072" t="str">
            <v>61100-31020-00</v>
          </cell>
          <cell r="F4072">
            <v>0</v>
          </cell>
        </row>
        <row r="4073">
          <cell r="A4073" t="str">
            <v>61100-31021-00</v>
          </cell>
          <cell r="F4073">
            <v>0</v>
          </cell>
        </row>
        <row r="4074">
          <cell r="A4074" t="str">
            <v>61100-31022-00</v>
          </cell>
          <cell r="F4074">
            <v>1564.24</v>
          </cell>
        </row>
        <row r="4075">
          <cell r="A4075" t="str">
            <v>61100-31023-00</v>
          </cell>
          <cell r="F4075">
            <v>4164.4799999999996</v>
          </cell>
        </row>
        <row r="4076">
          <cell r="A4076" t="str">
            <v>61100-31024-00</v>
          </cell>
          <cell r="F4076">
            <v>0</v>
          </cell>
        </row>
        <row r="4077">
          <cell r="A4077" t="str">
            <v>61100-31025-00</v>
          </cell>
          <cell r="F4077">
            <v>0</v>
          </cell>
        </row>
        <row r="4078">
          <cell r="A4078" t="str">
            <v>61100-31026-00</v>
          </cell>
          <cell r="F4078">
            <v>0</v>
          </cell>
        </row>
        <row r="4079">
          <cell r="A4079" t="str">
            <v>61100-31027-00</v>
          </cell>
          <cell r="F4079">
            <v>0</v>
          </cell>
        </row>
        <row r="4080">
          <cell r="A4080" t="str">
            <v>61100-31028-00</v>
          </cell>
          <cell r="F4080">
            <v>2920.08</v>
          </cell>
        </row>
        <row r="4081">
          <cell r="A4081" t="str">
            <v>61100-31029-00</v>
          </cell>
          <cell r="F4081">
            <v>-15338.44</v>
          </cell>
        </row>
        <row r="4082">
          <cell r="A4082" t="str">
            <v>61100-31030-00</v>
          </cell>
          <cell r="F4082">
            <v>5273.86</v>
          </cell>
        </row>
        <row r="4083">
          <cell r="A4083" t="str">
            <v>61100-31031-00</v>
          </cell>
          <cell r="F4083">
            <v>615.05999999999995</v>
          </cell>
        </row>
        <row r="4084">
          <cell r="A4084" t="str">
            <v>61100-31032-00</v>
          </cell>
          <cell r="F4084">
            <v>16457.88</v>
          </cell>
        </row>
        <row r="4085">
          <cell r="A4085" t="str">
            <v>61100-31033-00</v>
          </cell>
          <cell r="F4085">
            <v>1570.15</v>
          </cell>
        </row>
        <row r="4086">
          <cell r="A4086" t="str">
            <v>61100-31034-00</v>
          </cell>
          <cell r="F4086">
            <v>0</v>
          </cell>
        </row>
        <row r="4087">
          <cell r="A4087" t="str">
            <v>61100-31035-00</v>
          </cell>
          <cell r="F4087">
            <v>0</v>
          </cell>
        </row>
        <row r="4088">
          <cell r="A4088" t="str">
            <v>61100-31036-00</v>
          </cell>
          <cell r="F4088">
            <v>0</v>
          </cell>
        </row>
        <row r="4089">
          <cell r="A4089" t="str">
            <v>61100-31037-00</v>
          </cell>
          <cell r="F4089">
            <v>0</v>
          </cell>
        </row>
        <row r="4090">
          <cell r="A4090" t="str">
            <v>61100-31038-00</v>
          </cell>
          <cell r="F4090">
            <v>0</v>
          </cell>
        </row>
        <row r="4091">
          <cell r="A4091" t="str">
            <v>61100-31039-00</v>
          </cell>
          <cell r="F4091">
            <v>609.5</v>
          </cell>
        </row>
        <row r="4092">
          <cell r="A4092" t="str">
            <v>61100-31040-00</v>
          </cell>
          <cell r="F4092">
            <v>556.47</v>
          </cell>
        </row>
        <row r="4093">
          <cell r="A4093" t="str">
            <v>61100-31041-00</v>
          </cell>
          <cell r="F4093">
            <v>2877.87</v>
          </cell>
        </row>
        <row r="4094">
          <cell r="A4094" t="str">
            <v>61100-31042-00</v>
          </cell>
          <cell r="F4094">
            <v>0</v>
          </cell>
        </row>
        <row r="4095">
          <cell r="A4095" t="str">
            <v>61100-31043-00</v>
          </cell>
          <cell r="F4095">
            <v>4877.03</v>
          </cell>
        </row>
        <row r="4096">
          <cell r="A4096" t="str">
            <v>61100-31044-00</v>
          </cell>
          <cell r="F4096">
            <v>0</v>
          </cell>
        </row>
        <row r="4097">
          <cell r="A4097" t="str">
            <v>61100-31045-00</v>
          </cell>
          <cell r="F4097">
            <v>0</v>
          </cell>
        </row>
        <row r="4098">
          <cell r="A4098" t="str">
            <v>61100-31046-00</v>
          </cell>
          <cell r="F4098">
            <v>1759.02</v>
          </cell>
        </row>
        <row r="4099">
          <cell r="A4099" t="str">
            <v>61100-31047-00</v>
          </cell>
          <cell r="F4099">
            <v>0</v>
          </cell>
        </row>
        <row r="4100">
          <cell r="A4100" t="str">
            <v>61100-31048-00</v>
          </cell>
          <cell r="F4100">
            <v>7964.66</v>
          </cell>
        </row>
        <row r="4101">
          <cell r="A4101" t="str">
            <v>61100-31049-00</v>
          </cell>
          <cell r="F4101">
            <v>0</v>
          </cell>
        </row>
        <row r="4102">
          <cell r="A4102" t="str">
            <v>61100-31050-00</v>
          </cell>
          <cell r="F4102">
            <v>0</v>
          </cell>
        </row>
        <row r="4103">
          <cell r="A4103" t="str">
            <v>61100-31051-00</v>
          </cell>
          <cell r="F4103">
            <v>0</v>
          </cell>
        </row>
        <row r="4104">
          <cell r="A4104" t="str">
            <v>61100-31053-00</v>
          </cell>
          <cell r="F4104">
            <v>610.89</v>
          </cell>
        </row>
        <row r="4105">
          <cell r="A4105" t="str">
            <v>61100-31054-00</v>
          </cell>
          <cell r="F4105">
            <v>0</v>
          </cell>
        </row>
        <row r="4106">
          <cell r="A4106" t="str">
            <v>61100-31055-00</v>
          </cell>
          <cell r="F4106">
            <v>1888.59</v>
          </cell>
        </row>
        <row r="4107">
          <cell r="A4107" t="str">
            <v>61100-31056-00</v>
          </cell>
          <cell r="F4107">
            <v>0</v>
          </cell>
        </row>
        <row r="4108">
          <cell r="A4108" t="str">
            <v>61100-31057-00</v>
          </cell>
          <cell r="F4108">
            <v>608.85</v>
          </cell>
        </row>
        <row r="4109">
          <cell r="A4109" t="str">
            <v>61100-31058-00</v>
          </cell>
          <cell r="F4109">
            <v>0</v>
          </cell>
        </row>
        <row r="4110">
          <cell r="A4110" t="str">
            <v>61100-31059-00</v>
          </cell>
          <cell r="F4110">
            <v>0</v>
          </cell>
        </row>
        <row r="4111">
          <cell r="A4111" t="str">
            <v>61100-31060-00</v>
          </cell>
          <cell r="F4111">
            <v>0</v>
          </cell>
        </row>
        <row r="4112">
          <cell r="A4112" t="str">
            <v>61100-31061-00</v>
          </cell>
          <cell r="F4112">
            <v>277.8</v>
          </cell>
        </row>
        <row r="4113">
          <cell r="A4113" t="str">
            <v>61100-31062-00</v>
          </cell>
          <cell r="F4113">
            <v>277.8</v>
          </cell>
        </row>
        <row r="4114">
          <cell r="A4114" t="str">
            <v>61100-31063-00</v>
          </cell>
          <cell r="F4114">
            <v>0</v>
          </cell>
        </row>
        <row r="4115">
          <cell r="A4115" t="str">
            <v>61100-31064-00</v>
          </cell>
          <cell r="F4115">
            <v>608.85</v>
          </cell>
        </row>
        <row r="4116">
          <cell r="A4116" t="str">
            <v>61100-31065-00</v>
          </cell>
          <cell r="F4116">
            <v>1685.08</v>
          </cell>
        </row>
        <row r="4117">
          <cell r="A4117" t="str">
            <v>61100-31066-00</v>
          </cell>
          <cell r="F4117">
            <v>580.67999999999995</v>
          </cell>
        </row>
        <row r="4118">
          <cell r="A4118" t="str">
            <v>61100-31067-00</v>
          </cell>
          <cell r="F4118">
            <v>9333.92</v>
          </cell>
        </row>
        <row r="4119">
          <cell r="A4119" t="str">
            <v>61100-31068-00</v>
          </cell>
          <cell r="F4119">
            <v>11790.21</v>
          </cell>
        </row>
        <row r="4120">
          <cell r="A4120" t="str">
            <v>61100-31069-00</v>
          </cell>
          <cell r="F4120">
            <v>3154.18</v>
          </cell>
        </row>
        <row r="4121">
          <cell r="A4121" t="str">
            <v>61100-31070-00</v>
          </cell>
          <cell r="F4121">
            <v>5135.45</v>
          </cell>
        </row>
        <row r="4122">
          <cell r="A4122" t="str">
            <v>61100-31071-00</v>
          </cell>
          <cell r="F4122">
            <v>0</v>
          </cell>
        </row>
        <row r="4123">
          <cell r="A4123" t="str">
            <v>61100-31072-00</v>
          </cell>
          <cell r="F4123">
            <v>608.11</v>
          </cell>
        </row>
        <row r="4124">
          <cell r="A4124" t="str">
            <v>61100-31073-00</v>
          </cell>
          <cell r="F4124">
            <v>0</v>
          </cell>
        </row>
        <row r="4125">
          <cell r="A4125" t="str">
            <v>61100-31074-00</v>
          </cell>
          <cell r="F4125">
            <v>0</v>
          </cell>
        </row>
        <row r="4126">
          <cell r="A4126" t="str">
            <v>61100-31075-00</v>
          </cell>
          <cell r="F4126">
            <v>0</v>
          </cell>
        </row>
        <row r="4127">
          <cell r="A4127" t="str">
            <v>61100-31076-00</v>
          </cell>
          <cell r="F4127">
            <v>0</v>
          </cell>
        </row>
        <row r="4128">
          <cell r="A4128" t="str">
            <v>61100-31077-00</v>
          </cell>
          <cell r="F4128">
            <v>472.32</v>
          </cell>
        </row>
        <row r="4129">
          <cell r="A4129" t="str">
            <v>61100-31078-00</v>
          </cell>
          <cell r="F4129">
            <v>0</v>
          </cell>
        </row>
        <row r="4130">
          <cell r="A4130" t="str">
            <v>61100-41001-00</v>
          </cell>
          <cell r="F4130">
            <v>21733.31</v>
          </cell>
        </row>
        <row r="4131">
          <cell r="A4131" t="str">
            <v>61100-41002-00</v>
          </cell>
          <cell r="F4131">
            <v>1412.36</v>
          </cell>
        </row>
        <row r="4132">
          <cell r="A4132" t="str">
            <v>61100-41003-00</v>
          </cell>
          <cell r="F4132">
            <v>16845</v>
          </cell>
        </row>
        <row r="4133">
          <cell r="A4133" t="str">
            <v>61100-41004-00</v>
          </cell>
          <cell r="F4133">
            <v>5677.83</v>
          </cell>
        </row>
        <row r="4134">
          <cell r="A4134" t="str">
            <v>61100-41005-00</v>
          </cell>
          <cell r="F4134">
            <v>1160.1600000000001</v>
          </cell>
        </row>
        <row r="4135">
          <cell r="A4135" t="str">
            <v>61100-41009-00</v>
          </cell>
          <cell r="F4135">
            <v>504.75</v>
          </cell>
        </row>
        <row r="4136">
          <cell r="A4136" t="str">
            <v>61100-41029-00</v>
          </cell>
          <cell r="F4136">
            <v>1114.07</v>
          </cell>
        </row>
        <row r="4137">
          <cell r="A4137" t="str">
            <v>61100-41030-00</v>
          </cell>
          <cell r="F4137">
            <v>1865.8</v>
          </cell>
        </row>
        <row r="4138">
          <cell r="A4138" t="str">
            <v>61100-41031-00</v>
          </cell>
          <cell r="F4138">
            <v>2152.9899999999998</v>
          </cell>
        </row>
        <row r="4139">
          <cell r="A4139" t="str">
            <v>61100-41032-00</v>
          </cell>
          <cell r="F4139">
            <v>0</v>
          </cell>
        </row>
        <row r="4140">
          <cell r="A4140" t="str">
            <v>61100-41041-00</v>
          </cell>
          <cell r="F4140">
            <v>6278.37</v>
          </cell>
        </row>
        <row r="4141">
          <cell r="A4141" t="str">
            <v>61100-41049-00</v>
          </cell>
          <cell r="F4141">
            <v>590.41</v>
          </cell>
        </row>
        <row r="4142">
          <cell r="A4142" t="str">
            <v>61100-41052-00</v>
          </cell>
          <cell r="F4142">
            <v>0</v>
          </cell>
        </row>
        <row r="4143">
          <cell r="A4143" t="str">
            <v>61100-43001-00</v>
          </cell>
          <cell r="F4143">
            <v>4242.01</v>
          </cell>
        </row>
        <row r="4144">
          <cell r="A4144" t="str">
            <v>61100-43002-00</v>
          </cell>
          <cell r="F4144">
            <v>3277.64</v>
          </cell>
        </row>
        <row r="4145">
          <cell r="A4145" t="str">
            <v>61100-43003-00</v>
          </cell>
          <cell r="F4145">
            <v>662.4</v>
          </cell>
        </row>
        <row r="4146">
          <cell r="A4146" t="str">
            <v>61100-43005-00</v>
          </cell>
          <cell r="F4146">
            <v>9596.32</v>
          </cell>
        </row>
        <row r="4147">
          <cell r="A4147" t="str">
            <v>61100-43009-00</v>
          </cell>
          <cell r="F4147">
            <v>3602.91</v>
          </cell>
        </row>
        <row r="4148">
          <cell r="A4148" t="str">
            <v>61100-43029-00</v>
          </cell>
          <cell r="F4148">
            <v>2965.38</v>
          </cell>
        </row>
        <row r="4149">
          <cell r="A4149" t="str">
            <v>61100-43030-00</v>
          </cell>
          <cell r="F4149">
            <v>13848.52</v>
          </cell>
        </row>
        <row r="4150">
          <cell r="A4150" t="str">
            <v>61100-43031-00</v>
          </cell>
          <cell r="F4150">
            <v>789.54</v>
          </cell>
        </row>
        <row r="4151">
          <cell r="A4151" t="str">
            <v>61100-43032-00</v>
          </cell>
          <cell r="F4151">
            <v>97.44</v>
          </cell>
        </row>
        <row r="4152">
          <cell r="A4152" t="str">
            <v>61100-43041-00</v>
          </cell>
          <cell r="F4152">
            <v>1295.8699999999999</v>
          </cell>
        </row>
        <row r="4153">
          <cell r="A4153" t="str">
            <v>61100-43052-00</v>
          </cell>
          <cell r="F4153">
            <v>0</v>
          </cell>
        </row>
        <row r="4154">
          <cell r="A4154" t="str">
            <v>61100-45001-00</v>
          </cell>
          <cell r="F4154">
            <v>1289.54</v>
          </cell>
        </row>
        <row r="4155">
          <cell r="A4155" t="str">
            <v>61100-45002-00</v>
          </cell>
          <cell r="F4155">
            <v>3181.6</v>
          </cell>
        </row>
        <row r="4156">
          <cell r="A4156" t="str">
            <v>61100-45003-00</v>
          </cell>
          <cell r="F4156">
            <v>0</v>
          </cell>
        </row>
        <row r="4157">
          <cell r="A4157" t="str">
            <v>61100-45005-00</v>
          </cell>
          <cell r="F4157">
            <v>2846.33</v>
          </cell>
        </row>
        <row r="4158">
          <cell r="A4158" t="str">
            <v>61100-45009-00</v>
          </cell>
          <cell r="F4158">
            <v>0</v>
          </cell>
        </row>
        <row r="4159">
          <cell r="A4159" t="str">
            <v>61100-45029-00</v>
          </cell>
          <cell r="F4159">
            <v>11039.95</v>
          </cell>
        </row>
        <row r="4160">
          <cell r="A4160" t="str">
            <v>61100-45030-00</v>
          </cell>
          <cell r="F4160">
            <v>912.49</v>
          </cell>
        </row>
        <row r="4161">
          <cell r="A4161" t="str">
            <v>61100-45031-00</v>
          </cell>
          <cell r="F4161">
            <v>0</v>
          </cell>
        </row>
        <row r="4162">
          <cell r="A4162" t="str">
            <v>61100-45032-00</v>
          </cell>
          <cell r="F4162">
            <v>0</v>
          </cell>
        </row>
        <row r="4163">
          <cell r="A4163" t="str">
            <v>61100-45052-00</v>
          </cell>
          <cell r="F4163">
            <v>0</v>
          </cell>
        </row>
        <row r="4164">
          <cell r="A4164" t="str">
            <v>61100-51001-00</v>
          </cell>
          <cell r="F4164">
            <v>63918.09</v>
          </cell>
        </row>
        <row r="4165">
          <cell r="A4165" t="str">
            <v>61100-51005-00</v>
          </cell>
          <cell r="F4165">
            <v>0</v>
          </cell>
        </row>
        <row r="4166">
          <cell r="A4166" t="str">
            <v>61100-53001-00</v>
          </cell>
          <cell r="F4166">
            <v>0</v>
          </cell>
        </row>
        <row r="4167">
          <cell r="A4167" t="str">
            <v>61100-61030-00</v>
          </cell>
          <cell r="F4167">
            <v>80.23</v>
          </cell>
        </row>
        <row r="4168">
          <cell r="A4168" t="str">
            <v>61100-61031-00</v>
          </cell>
          <cell r="F4168">
            <v>6277.43</v>
          </cell>
        </row>
        <row r="4169">
          <cell r="A4169" t="str">
            <v>61100-62030-00</v>
          </cell>
          <cell r="F4169">
            <v>97.02</v>
          </cell>
        </row>
        <row r="4170">
          <cell r="A4170" t="str">
            <v>61100-62032-00</v>
          </cell>
          <cell r="F4170">
            <v>0</v>
          </cell>
        </row>
        <row r="4171">
          <cell r="A4171" t="str">
            <v>61100-63030-00</v>
          </cell>
          <cell r="F4171">
            <v>7244.19</v>
          </cell>
        </row>
        <row r="4172">
          <cell r="A4172" t="str">
            <v>61100-63032-00</v>
          </cell>
          <cell r="F4172">
            <v>1327.8</v>
          </cell>
        </row>
        <row r="4173">
          <cell r="A4173" t="str">
            <v>61100-64032-00</v>
          </cell>
          <cell r="F4173">
            <v>0</v>
          </cell>
        </row>
        <row r="4174">
          <cell r="A4174" t="str">
            <v>61100-81001-00</v>
          </cell>
          <cell r="F4174">
            <v>2654.29</v>
          </cell>
        </row>
        <row r="4175">
          <cell r="A4175" t="str">
            <v>61100-81005-00</v>
          </cell>
          <cell r="F4175">
            <v>0</v>
          </cell>
        </row>
        <row r="4176">
          <cell r="A4176" t="str">
            <v>61100-83001-00</v>
          </cell>
          <cell r="F4176">
            <v>564.34</v>
          </cell>
        </row>
        <row r="4177">
          <cell r="A4177" t="str">
            <v>61100-84001-00</v>
          </cell>
          <cell r="F4177">
            <v>1196.1099999999999</v>
          </cell>
        </row>
        <row r="4178">
          <cell r="A4178" t="str">
            <v>61100-85001-00</v>
          </cell>
          <cell r="F4178">
            <v>21485.57</v>
          </cell>
        </row>
        <row r="4179">
          <cell r="A4179" t="str">
            <v>61200-00000-00</v>
          </cell>
          <cell r="F4179">
            <v>0</v>
          </cell>
        </row>
        <row r="4180">
          <cell r="A4180" t="str">
            <v>61200-11001-00</v>
          </cell>
          <cell r="F4180">
            <v>0</v>
          </cell>
        </row>
        <row r="4181">
          <cell r="A4181" t="str">
            <v>61200-11005-00</v>
          </cell>
          <cell r="F4181">
            <v>0</v>
          </cell>
        </row>
        <row r="4182">
          <cell r="A4182" t="str">
            <v>61200-13006-00</v>
          </cell>
          <cell r="F4182">
            <v>0</v>
          </cell>
        </row>
        <row r="4183">
          <cell r="A4183" t="str">
            <v>61200-13007-00</v>
          </cell>
          <cell r="F4183">
            <v>0</v>
          </cell>
        </row>
        <row r="4184">
          <cell r="A4184" t="str">
            <v>61200-14001-00</v>
          </cell>
          <cell r="F4184">
            <v>0</v>
          </cell>
        </row>
        <row r="4185">
          <cell r="A4185" t="str">
            <v>61200-15001-00</v>
          </cell>
          <cell r="F4185">
            <v>10880.49</v>
          </cell>
        </row>
        <row r="4186">
          <cell r="A4186" t="str">
            <v>61200-15005-00</v>
          </cell>
          <cell r="F4186">
            <v>0</v>
          </cell>
        </row>
        <row r="4187">
          <cell r="A4187" t="str">
            <v>61200-31000-00</v>
          </cell>
          <cell r="F4187">
            <v>0</v>
          </cell>
        </row>
        <row r="4188">
          <cell r="A4188" t="str">
            <v>61200-31001-00</v>
          </cell>
          <cell r="F4188">
            <v>0</v>
          </cell>
        </row>
        <row r="4189">
          <cell r="A4189" t="str">
            <v>61200-31010-00</v>
          </cell>
          <cell r="F4189">
            <v>4595.71</v>
          </cell>
        </row>
        <row r="4190">
          <cell r="A4190" t="str">
            <v>61200-31011-00</v>
          </cell>
          <cell r="F4190">
            <v>1671.91</v>
          </cell>
        </row>
        <row r="4191">
          <cell r="A4191" t="str">
            <v>61200-31012-00</v>
          </cell>
          <cell r="F4191">
            <v>6961.75</v>
          </cell>
        </row>
        <row r="4192">
          <cell r="A4192" t="str">
            <v>61200-31013-00</v>
          </cell>
          <cell r="F4192">
            <v>0</v>
          </cell>
        </row>
        <row r="4193">
          <cell r="A4193" t="str">
            <v>61200-31014-00</v>
          </cell>
          <cell r="F4193">
            <v>0</v>
          </cell>
        </row>
        <row r="4194">
          <cell r="A4194" t="str">
            <v>61200-31015-00</v>
          </cell>
          <cell r="F4194">
            <v>0</v>
          </cell>
        </row>
        <row r="4195">
          <cell r="A4195" t="str">
            <v>61200-31016-00</v>
          </cell>
          <cell r="F4195">
            <v>0</v>
          </cell>
        </row>
        <row r="4196">
          <cell r="A4196" t="str">
            <v>61200-31017-00</v>
          </cell>
          <cell r="F4196">
            <v>0</v>
          </cell>
        </row>
        <row r="4197">
          <cell r="A4197" t="str">
            <v>61200-31018-00</v>
          </cell>
          <cell r="F4197">
            <v>9869.5499999999993</v>
          </cell>
        </row>
        <row r="4198">
          <cell r="A4198" t="str">
            <v>61200-31019-00</v>
          </cell>
          <cell r="F4198">
            <v>5102.9799999999996</v>
          </cell>
        </row>
        <row r="4199">
          <cell r="A4199" t="str">
            <v>61200-31020-00</v>
          </cell>
          <cell r="F4199">
            <v>0</v>
          </cell>
        </row>
        <row r="4200">
          <cell r="A4200" t="str">
            <v>61200-31021-00</v>
          </cell>
          <cell r="F4200">
            <v>0</v>
          </cell>
        </row>
        <row r="4201">
          <cell r="A4201" t="str">
            <v>61200-31022-00</v>
          </cell>
          <cell r="F4201">
            <v>868.5</v>
          </cell>
        </row>
        <row r="4202">
          <cell r="A4202" t="str">
            <v>61200-31023-00</v>
          </cell>
          <cell r="F4202">
            <v>4116.24</v>
          </cell>
        </row>
        <row r="4203">
          <cell r="A4203" t="str">
            <v>61200-31024-00</v>
          </cell>
          <cell r="F4203">
            <v>0</v>
          </cell>
        </row>
        <row r="4204">
          <cell r="A4204" t="str">
            <v>61200-31025-00</v>
          </cell>
          <cell r="F4204">
            <v>0</v>
          </cell>
        </row>
        <row r="4205">
          <cell r="A4205" t="str">
            <v>61200-31026-00</v>
          </cell>
          <cell r="F4205">
            <v>0</v>
          </cell>
        </row>
        <row r="4206">
          <cell r="A4206" t="str">
            <v>61200-31027-00</v>
          </cell>
          <cell r="F4206">
            <v>0</v>
          </cell>
        </row>
        <row r="4207">
          <cell r="A4207" t="str">
            <v>61200-31028-00</v>
          </cell>
          <cell r="F4207">
            <v>6496.91</v>
          </cell>
        </row>
        <row r="4208">
          <cell r="A4208" t="str">
            <v>61200-31029-00</v>
          </cell>
          <cell r="F4208">
            <v>29614.87</v>
          </cell>
        </row>
        <row r="4209">
          <cell r="A4209" t="str">
            <v>61200-31030-00</v>
          </cell>
          <cell r="F4209">
            <v>6194.54</v>
          </cell>
        </row>
        <row r="4210">
          <cell r="A4210" t="str">
            <v>61200-31031-00</v>
          </cell>
          <cell r="F4210">
            <v>13516.68</v>
          </cell>
        </row>
        <row r="4211">
          <cell r="A4211" t="str">
            <v>61200-31032-00</v>
          </cell>
          <cell r="F4211">
            <v>10388.41</v>
          </cell>
        </row>
        <row r="4212">
          <cell r="A4212" t="str">
            <v>61200-31033-00</v>
          </cell>
          <cell r="F4212">
            <v>3033.4</v>
          </cell>
        </row>
        <row r="4213">
          <cell r="A4213" t="str">
            <v>61200-31034-00</v>
          </cell>
          <cell r="F4213">
            <v>0</v>
          </cell>
        </row>
        <row r="4214">
          <cell r="A4214" t="str">
            <v>61200-31035-00</v>
          </cell>
          <cell r="F4214">
            <v>0</v>
          </cell>
        </row>
        <row r="4215">
          <cell r="A4215" t="str">
            <v>61200-31036-00</v>
          </cell>
          <cell r="F4215">
            <v>0</v>
          </cell>
        </row>
        <row r="4216">
          <cell r="A4216" t="str">
            <v>61200-31037-00</v>
          </cell>
          <cell r="F4216">
            <v>0</v>
          </cell>
        </row>
        <row r="4217">
          <cell r="A4217" t="str">
            <v>61200-31038-00</v>
          </cell>
          <cell r="F4217">
            <v>480</v>
          </cell>
        </row>
        <row r="4218">
          <cell r="A4218" t="str">
            <v>61200-31039-00</v>
          </cell>
          <cell r="F4218">
            <v>1214.22</v>
          </cell>
        </row>
        <row r="4219">
          <cell r="A4219" t="str">
            <v>61200-31040-00</v>
          </cell>
          <cell r="F4219">
            <v>168.91</v>
          </cell>
        </row>
        <row r="4220">
          <cell r="A4220" t="str">
            <v>61200-31041-00</v>
          </cell>
          <cell r="F4220">
            <v>12715.37</v>
          </cell>
        </row>
        <row r="4221">
          <cell r="A4221" t="str">
            <v>61200-31042-00</v>
          </cell>
          <cell r="F4221">
            <v>263.98</v>
          </cell>
        </row>
        <row r="4222">
          <cell r="A4222" t="str">
            <v>61200-31043-00</v>
          </cell>
          <cell r="F4222">
            <v>53333.37</v>
          </cell>
        </row>
        <row r="4223">
          <cell r="A4223" t="str">
            <v>61200-31044-00</v>
          </cell>
          <cell r="F4223">
            <v>0</v>
          </cell>
        </row>
        <row r="4224">
          <cell r="A4224" t="str">
            <v>61200-31045-00</v>
          </cell>
          <cell r="F4224">
            <v>0</v>
          </cell>
        </row>
        <row r="4225">
          <cell r="A4225" t="str">
            <v>61200-31046-00</v>
          </cell>
          <cell r="F4225">
            <v>3534.01</v>
          </cell>
        </row>
        <row r="4226">
          <cell r="A4226" t="str">
            <v>61200-31047-00</v>
          </cell>
          <cell r="F4226">
            <v>0</v>
          </cell>
        </row>
        <row r="4227">
          <cell r="A4227" t="str">
            <v>61200-31048-00</v>
          </cell>
          <cell r="F4227">
            <v>13208.77</v>
          </cell>
        </row>
        <row r="4228">
          <cell r="A4228" t="str">
            <v>61200-31049-00</v>
          </cell>
          <cell r="F4228">
            <v>0</v>
          </cell>
        </row>
        <row r="4229">
          <cell r="A4229" t="str">
            <v>61200-31050-00</v>
          </cell>
          <cell r="F4229">
            <v>0</v>
          </cell>
        </row>
        <row r="4230">
          <cell r="A4230" t="str">
            <v>61200-31051-00</v>
          </cell>
          <cell r="F4230">
            <v>0</v>
          </cell>
        </row>
        <row r="4231">
          <cell r="A4231" t="str">
            <v>61200-31053-00</v>
          </cell>
          <cell r="F4231">
            <v>0</v>
          </cell>
        </row>
        <row r="4232">
          <cell r="A4232" t="str">
            <v>61200-31054-00</v>
          </cell>
          <cell r="F4232">
            <v>0</v>
          </cell>
        </row>
        <row r="4233">
          <cell r="A4233" t="str">
            <v>61200-31055-00</v>
          </cell>
          <cell r="F4233">
            <v>4115.2299999999996</v>
          </cell>
        </row>
        <row r="4234">
          <cell r="A4234" t="str">
            <v>61200-31056-00</v>
          </cell>
          <cell r="F4234">
            <v>0</v>
          </cell>
        </row>
        <row r="4235">
          <cell r="A4235" t="str">
            <v>61200-31057-00</v>
          </cell>
          <cell r="F4235">
            <v>0</v>
          </cell>
        </row>
        <row r="4236">
          <cell r="A4236" t="str">
            <v>61200-31058-00</v>
          </cell>
          <cell r="F4236">
            <v>0</v>
          </cell>
        </row>
        <row r="4237">
          <cell r="A4237" t="str">
            <v>61200-31059-00</v>
          </cell>
          <cell r="F4237">
            <v>0</v>
          </cell>
        </row>
        <row r="4238">
          <cell r="A4238" t="str">
            <v>61200-31060-00</v>
          </cell>
          <cell r="F4238">
            <v>0</v>
          </cell>
        </row>
        <row r="4239">
          <cell r="A4239" t="str">
            <v>61200-31061-00</v>
          </cell>
          <cell r="F4239">
            <v>0</v>
          </cell>
        </row>
        <row r="4240">
          <cell r="A4240" t="str">
            <v>61200-31062-00</v>
          </cell>
          <cell r="F4240">
            <v>0</v>
          </cell>
        </row>
        <row r="4241">
          <cell r="A4241" t="str">
            <v>61200-31063-00</v>
          </cell>
          <cell r="F4241">
            <v>0</v>
          </cell>
        </row>
        <row r="4242">
          <cell r="A4242" t="str">
            <v>61200-31064-00</v>
          </cell>
          <cell r="F4242">
            <v>0</v>
          </cell>
        </row>
        <row r="4243">
          <cell r="A4243" t="str">
            <v>61200-31065-00</v>
          </cell>
          <cell r="F4243">
            <v>2199.4</v>
          </cell>
        </row>
        <row r="4244">
          <cell r="A4244" t="str">
            <v>61200-31066-00</v>
          </cell>
          <cell r="F4244">
            <v>0</v>
          </cell>
        </row>
        <row r="4245">
          <cell r="A4245" t="str">
            <v>61200-31067-00</v>
          </cell>
          <cell r="F4245">
            <v>543</v>
          </cell>
        </row>
        <row r="4246">
          <cell r="A4246" t="str">
            <v>61200-31068-00</v>
          </cell>
          <cell r="F4246">
            <v>1649.4</v>
          </cell>
        </row>
        <row r="4247">
          <cell r="A4247" t="str">
            <v>61200-31069-00</v>
          </cell>
          <cell r="F4247">
            <v>3305.1</v>
          </cell>
        </row>
        <row r="4248">
          <cell r="A4248" t="str">
            <v>61200-31070-00</v>
          </cell>
          <cell r="F4248">
            <v>1220</v>
          </cell>
        </row>
        <row r="4249">
          <cell r="A4249" t="str">
            <v>61200-31071-00</v>
          </cell>
          <cell r="F4249">
            <v>0</v>
          </cell>
        </row>
        <row r="4250">
          <cell r="A4250" t="str">
            <v>61200-31072-00</v>
          </cell>
          <cell r="F4250">
            <v>0</v>
          </cell>
        </row>
        <row r="4251">
          <cell r="A4251" t="str">
            <v>61200-31073-00</v>
          </cell>
          <cell r="F4251">
            <v>0</v>
          </cell>
        </row>
        <row r="4252">
          <cell r="A4252" t="str">
            <v>61200-31074-00</v>
          </cell>
          <cell r="F4252">
            <v>0</v>
          </cell>
        </row>
        <row r="4253">
          <cell r="A4253" t="str">
            <v>61200-31075-00</v>
          </cell>
          <cell r="F4253">
            <v>0</v>
          </cell>
        </row>
        <row r="4254">
          <cell r="A4254" t="str">
            <v>61200-31076-00</v>
          </cell>
          <cell r="F4254">
            <v>0</v>
          </cell>
        </row>
        <row r="4255">
          <cell r="A4255" t="str">
            <v>61200-31077-00</v>
          </cell>
          <cell r="F4255">
            <v>0</v>
          </cell>
        </row>
        <row r="4256">
          <cell r="A4256" t="str">
            <v>61200-31078-00</v>
          </cell>
          <cell r="F4256">
            <v>0</v>
          </cell>
        </row>
        <row r="4257">
          <cell r="A4257" t="str">
            <v>61200-41001-00</v>
          </cell>
          <cell r="F4257">
            <v>9037.77</v>
          </cell>
        </row>
        <row r="4258">
          <cell r="A4258" t="str">
            <v>61200-41002-00</v>
          </cell>
          <cell r="F4258">
            <v>924.44</v>
          </cell>
        </row>
        <row r="4259">
          <cell r="A4259" t="str">
            <v>61200-41003-00</v>
          </cell>
          <cell r="F4259">
            <v>301.81</v>
          </cell>
        </row>
        <row r="4260">
          <cell r="A4260" t="str">
            <v>61200-41004-00</v>
          </cell>
          <cell r="F4260">
            <v>2215.4</v>
          </cell>
        </row>
        <row r="4261">
          <cell r="A4261" t="str">
            <v>61200-41005-00</v>
          </cell>
          <cell r="F4261">
            <v>0</v>
          </cell>
        </row>
        <row r="4262">
          <cell r="A4262" t="str">
            <v>61200-41009-00</v>
          </cell>
          <cell r="F4262">
            <v>0</v>
          </cell>
        </row>
        <row r="4263">
          <cell r="A4263" t="str">
            <v>61200-41029-00</v>
          </cell>
          <cell r="F4263">
            <v>2617.15</v>
          </cell>
        </row>
        <row r="4264">
          <cell r="A4264" t="str">
            <v>61200-41030-00</v>
          </cell>
          <cell r="F4264">
            <v>4678.74</v>
          </cell>
        </row>
        <row r="4265">
          <cell r="A4265" t="str">
            <v>61200-41031-00</v>
          </cell>
          <cell r="F4265">
            <v>852.37</v>
          </cell>
        </row>
        <row r="4266">
          <cell r="A4266" t="str">
            <v>61200-41032-00</v>
          </cell>
          <cell r="F4266">
            <v>0</v>
          </cell>
        </row>
        <row r="4267">
          <cell r="A4267" t="str">
            <v>61200-41041-00</v>
          </cell>
          <cell r="F4267">
            <v>0</v>
          </cell>
        </row>
        <row r="4268">
          <cell r="A4268" t="str">
            <v>61200-41049-00</v>
          </cell>
          <cell r="F4268">
            <v>1228.72</v>
          </cell>
        </row>
        <row r="4269">
          <cell r="A4269" t="str">
            <v>61200-41052-00</v>
          </cell>
          <cell r="F4269">
            <v>0</v>
          </cell>
        </row>
        <row r="4270">
          <cell r="A4270" t="str">
            <v>61200-43001-00</v>
          </cell>
          <cell r="F4270">
            <v>1335.57</v>
          </cell>
        </row>
        <row r="4271">
          <cell r="A4271" t="str">
            <v>61200-43002-00</v>
          </cell>
          <cell r="F4271">
            <v>450.11</v>
          </cell>
        </row>
        <row r="4272">
          <cell r="A4272" t="str">
            <v>61200-43003-00</v>
          </cell>
          <cell r="F4272">
            <v>0</v>
          </cell>
        </row>
        <row r="4273">
          <cell r="A4273" t="str">
            <v>61200-43005-00</v>
          </cell>
          <cell r="F4273">
            <v>4567.99</v>
          </cell>
        </row>
        <row r="4274">
          <cell r="A4274" t="str">
            <v>61200-43009-00</v>
          </cell>
          <cell r="F4274">
            <v>1669.9</v>
          </cell>
        </row>
        <row r="4275">
          <cell r="A4275" t="str">
            <v>61200-43029-00</v>
          </cell>
          <cell r="F4275">
            <v>15200</v>
          </cell>
        </row>
        <row r="4276">
          <cell r="A4276" t="str">
            <v>61200-43030-00</v>
          </cell>
          <cell r="F4276">
            <v>5274.57</v>
          </cell>
        </row>
        <row r="4277">
          <cell r="A4277" t="str">
            <v>61200-43031-00</v>
          </cell>
          <cell r="F4277">
            <v>382.5</v>
          </cell>
        </row>
        <row r="4278">
          <cell r="A4278" t="str">
            <v>61200-43032-00</v>
          </cell>
          <cell r="F4278">
            <v>9879.9699999999993</v>
          </cell>
        </row>
        <row r="4279">
          <cell r="A4279" t="str">
            <v>61200-43041-00</v>
          </cell>
          <cell r="F4279">
            <v>4146</v>
          </cell>
        </row>
        <row r="4280">
          <cell r="A4280" t="str">
            <v>61200-43052-00</v>
          </cell>
          <cell r="F4280">
            <v>0</v>
          </cell>
        </row>
        <row r="4281">
          <cell r="A4281" t="str">
            <v>61200-45001-00</v>
          </cell>
          <cell r="F4281">
            <v>1416.66</v>
          </cell>
        </row>
        <row r="4282">
          <cell r="A4282" t="str">
            <v>61200-45002-00</v>
          </cell>
          <cell r="F4282">
            <v>794.71</v>
          </cell>
        </row>
        <row r="4283">
          <cell r="A4283" t="str">
            <v>61200-45003-00</v>
          </cell>
          <cell r="F4283">
            <v>0</v>
          </cell>
        </row>
        <row r="4284">
          <cell r="A4284" t="str">
            <v>61200-45005-00</v>
          </cell>
          <cell r="F4284">
            <v>0</v>
          </cell>
        </row>
        <row r="4285">
          <cell r="A4285" t="str">
            <v>61200-45009-00</v>
          </cell>
          <cell r="F4285">
            <v>0</v>
          </cell>
        </row>
        <row r="4286">
          <cell r="A4286" t="str">
            <v>61200-45029-00</v>
          </cell>
          <cell r="F4286">
            <v>0</v>
          </cell>
        </row>
        <row r="4287">
          <cell r="A4287" t="str">
            <v>61200-45030-00</v>
          </cell>
          <cell r="F4287">
            <v>166.33</v>
          </cell>
        </row>
        <row r="4288">
          <cell r="A4288" t="str">
            <v>61200-45031-00</v>
          </cell>
          <cell r="F4288">
            <v>0</v>
          </cell>
        </row>
        <row r="4289">
          <cell r="A4289" t="str">
            <v>61200-45032-00</v>
          </cell>
          <cell r="F4289">
            <v>338</v>
          </cell>
        </row>
        <row r="4290">
          <cell r="A4290" t="str">
            <v>61200-45052-00</v>
          </cell>
          <cell r="F4290">
            <v>0</v>
          </cell>
        </row>
        <row r="4291">
          <cell r="A4291" t="str">
            <v>61200-51001-00</v>
          </cell>
          <cell r="F4291">
            <v>8853</v>
          </cell>
        </row>
        <row r="4292">
          <cell r="A4292" t="str">
            <v>61200-51005-00</v>
          </cell>
          <cell r="F4292">
            <v>0</v>
          </cell>
        </row>
        <row r="4293">
          <cell r="A4293" t="str">
            <v>61200-53001-00</v>
          </cell>
          <cell r="F4293">
            <v>0</v>
          </cell>
        </row>
        <row r="4294">
          <cell r="A4294" t="str">
            <v>61200-61030-00</v>
          </cell>
          <cell r="F4294">
            <v>4192.68</v>
          </cell>
        </row>
        <row r="4295">
          <cell r="A4295" t="str">
            <v>61200-61031-00</v>
          </cell>
          <cell r="F4295">
            <v>1360</v>
          </cell>
        </row>
        <row r="4296">
          <cell r="A4296" t="str">
            <v>61200-62030-00</v>
          </cell>
          <cell r="F4296">
            <v>4135.09</v>
          </cell>
        </row>
        <row r="4297">
          <cell r="A4297" t="str">
            <v>61200-62032-00</v>
          </cell>
          <cell r="F4297">
            <v>0</v>
          </cell>
        </row>
        <row r="4298">
          <cell r="A4298" t="str">
            <v>61200-63030-00</v>
          </cell>
          <cell r="F4298">
            <v>3571.93</v>
          </cell>
        </row>
        <row r="4299">
          <cell r="A4299" t="str">
            <v>61200-63032-00</v>
          </cell>
          <cell r="F4299">
            <v>503.92</v>
          </cell>
        </row>
        <row r="4300">
          <cell r="A4300" t="str">
            <v>61200-64032-00</v>
          </cell>
          <cell r="F4300">
            <v>51.38</v>
          </cell>
        </row>
        <row r="4301">
          <cell r="A4301" t="str">
            <v>61200-81001-00</v>
          </cell>
          <cell r="F4301">
            <v>0</v>
          </cell>
        </row>
        <row r="4302">
          <cell r="A4302" t="str">
            <v>61200-81005-00</v>
          </cell>
          <cell r="F4302">
            <v>0</v>
          </cell>
        </row>
        <row r="4303">
          <cell r="A4303" t="str">
            <v>61200-83001-00</v>
          </cell>
          <cell r="F4303">
            <v>13730.14</v>
          </cell>
        </row>
        <row r="4304">
          <cell r="A4304" t="str">
            <v>61200-84001-00</v>
          </cell>
          <cell r="F4304">
            <v>0</v>
          </cell>
        </row>
        <row r="4305">
          <cell r="A4305" t="str">
            <v>61200-85001-00</v>
          </cell>
          <cell r="F4305">
            <v>0</v>
          </cell>
        </row>
        <row r="4306">
          <cell r="A4306" t="str">
            <v>61210-00000-00</v>
          </cell>
          <cell r="F4306">
            <v>0</v>
          </cell>
        </row>
        <row r="4307">
          <cell r="A4307" t="str">
            <v>61210-11001-00</v>
          </cell>
          <cell r="F4307">
            <v>1221.3800000000001</v>
          </cell>
        </row>
        <row r="4308">
          <cell r="A4308" t="str">
            <v>61210-13006-00</v>
          </cell>
          <cell r="F4308">
            <v>750</v>
          </cell>
        </row>
        <row r="4309">
          <cell r="A4309" t="str">
            <v>61210-13007-00</v>
          </cell>
          <cell r="F4309">
            <v>0</v>
          </cell>
        </row>
        <row r="4310">
          <cell r="A4310" t="str">
            <v>61210-14001-00</v>
          </cell>
          <cell r="F4310">
            <v>1262.53</v>
          </cell>
        </row>
        <row r="4311">
          <cell r="A4311" t="str">
            <v>61210-15001-00</v>
          </cell>
          <cell r="F4311">
            <v>2078.13</v>
          </cell>
        </row>
        <row r="4312">
          <cell r="A4312" t="str">
            <v>61210-31001-00</v>
          </cell>
          <cell r="F4312">
            <v>3537.94</v>
          </cell>
        </row>
        <row r="4313">
          <cell r="A4313" t="str">
            <v>61210-31010-00</v>
          </cell>
          <cell r="F4313">
            <v>19207.8</v>
          </cell>
        </row>
        <row r="4314">
          <cell r="A4314" t="str">
            <v>61210-31011-00</v>
          </cell>
          <cell r="F4314">
            <v>13380.02</v>
          </cell>
        </row>
        <row r="4315">
          <cell r="A4315" t="str">
            <v>61210-31012-00</v>
          </cell>
          <cell r="F4315">
            <v>11271.13</v>
          </cell>
        </row>
        <row r="4316">
          <cell r="A4316" t="str">
            <v>61210-31013-00</v>
          </cell>
          <cell r="F4316">
            <v>0</v>
          </cell>
        </row>
        <row r="4317">
          <cell r="A4317" t="str">
            <v>61210-31014-00</v>
          </cell>
          <cell r="F4317">
            <v>0</v>
          </cell>
        </row>
        <row r="4318">
          <cell r="A4318" t="str">
            <v>61210-31015-00</v>
          </cell>
          <cell r="F4318">
            <v>0</v>
          </cell>
        </row>
        <row r="4319">
          <cell r="A4319" t="str">
            <v>61210-31016-00</v>
          </cell>
          <cell r="F4319">
            <v>0</v>
          </cell>
        </row>
        <row r="4320">
          <cell r="A4320" t="str">
            <v>61210-31017-00</v>
          </cell>
          <cell r="F4320">
            <v>0</v>
          </cell>
        </row>
        <row r="4321">
          <cell r="A4321" t="str">
            <v>61210-31018-00</v>
          </cell>
          <cell r="F4321">
            <v>12193.07</v>
          </cell>
        </row>
        <row r="4322">
          <cell r="A4322" t="str">
            <v>61210-31019-00</v>
          </cell>
          <cell r="F4322">
            <v>20140.400000000001</v>
          </cell>
        </row>
        <row r="4323">
          <cell r="A4323" t="str">
            <v>61210-31020-00</v>
          </cell>
          <cell r="F4323">
            <v>0</v>
          </cell>
        </row>
        <row r="4324">
          <cell r="A4324" t="str">
            <v>61210-31021-00</v>
          </cell>
          <cell r="F4324">
            <v>0</v>
          </cell>
        </row>
        <row r="4325">
          <cell r="A4325" t="str">
            <v>61210-31022-00</v>
          </cell>
          <cell r="F4325">
            <v>5063.8900000000003</v>
          </cell>
        </row>
        <row r="4326">
          <cell r="A4326" t="str">
            <v>61210-31023-00</v>
          </cell>
          <cell r="F4326">
            <v>16613.310000000001</v>
          </cell>
        </row>
        <row r="4327">
          <cell r="A4327" t="str">
            <v>61210-31024-00</v>
          </cell>
          <cell r="F4327">
            <v>0</v>
          </cell>
        </row>
        <row r="4328">
          <cell r="A4328" t="str">
            <v>61210-31025-00</v>
          </cell>
          <cell r="F4328">
            <v>0</v>
          </cell>
        </row>
        <row r="4329">
          <cell r="A4329" t="str">
            <v>61210-31026-00</v>
          </cell>
          <cell r="F4329">
            <v>4945.5</v>
          </cell>
        </row>
        <row r="4330">
          <cell r="A4330" t="str">
            <v>61210-31027-00</v>
          </cell>
          <cell r="F4330">
            <v>0</v>
          </cell>
        </row>
        <row r="4331">
          <cell r="A4331" t="str">
            <v>61210-31028-00</v>
          </cell>
          <cell r="F4331">
            <v>8988.66</v>
          </cell>
        </row>
        <row r="4332">
          <cell r="A4332" t="str">
            <v>61210-31029-00</v>
          </cell>
          <cell r="F4332">
            <v>18194.3</v>
          </cell>
        </row>
        <row r="4333">
          <cell r="A4333" t="str">
            <v>61210-31030-00</v>
          </cell>
          <cell r="F4333">
            <v>15241.35</v>
          </cell>
        </row>
        <row r="4334">
          <cell r="A4334" t="str">
            <v>61210-31031-00</v>
          </cell>
          <cell r="F4334">
            <v>7864.01</v>
          </cell>
        </row>
        <row r="4335">
          <cell r="A4335" t="str">
            <v>61210-31032-00</v>
          </cell>
          <cell r="F4335">
            <v>14102.06</v>
          </cell>
        </row>
        <row r="4336">
          <cell r="A4336" t="str">
            <v>61210-31033-00</v>
          </cell>
          <cell r="F4336">
            <v>33230.42</v>
          </cell>
        </row>
        <row r="4337">
          <cell r="A4337" t="str">
            <v>61210-31034-00</v>
          </cell>
          <cell r="F4337">
            <v>0</v>
          </cell>
        </row>
        <row r="4338">
          <cell r="A4338" t="str">
            <v>61210-31035-00</v>
          </cell>
          <cell r="F4338">
            <v>0</v>
          </cell>
        </row>
        <row r="4339">
          <cell r="A4339" t="str">
            <v>61210-31036-00</v>
          </cell>
          <cell r="F4339">
            <v>0</v>
          </cell>
        </row>
        <row r="4340">
          <cell r="A4340" t="str">
            <v>61210-31037-00</v>
          </cell>
          <cell r="F4340">
            <v>0</v>
          </cell>
        </row>
        <row r="4341">
          <cell r="A4341" t="str">
            <v>61210-31038-00</v>
          </cell>
          <cell r="F4341">
            <v>0</v>
          </cell>
        </row>
        <row r="4342">
          <cell r="A4342" t="str">
            <v>61210-31039-00</v>
          </cell>
          <cell r="F4342">
            <v>0</v>
          </cell>
        </row>
        <row r="4343">
          <cell r="A4343" t="str">
            <v>61210-31040-00</v>
          </cell>
          <cell r="F4343">
            <v>0</v>
          </cell>
        </row>
        <row r="4344">
          <cell r="A4344" t="str">
            <v>61210-31041-00</v>
          </cell>
          <cell r="F4344">
            <v>12005.65</v>
          </cell>
        </row>
        <row r="4345">
          <cell r="A4345" t="str">
            <v>61210-31042-00</v>
          </cell>
          <cell r="F4345">
            <v>1704.81</v>
          </cell>
        </row>
        <row r="4346">
          <cell r="A4346" t="str">
            <v>61210-31043-00</v>
          </cell>
          <cell r="F4346">
            <v>29297.49</v>
          </cell>
        </row>
        <row r="4347">
          <cell r="A4347" t="str">
            <v>61210-31044-00</v>
          </cell>
          <cell r="F4347">
            <v>0</v>
          </cell>
        </row>
        <row r="4348">
          <cell r="A4348" t="str">
            <v>61210-31045-00</v>
          </cell>
          <cell r="F4348">
            <v>0</v>
          </cell>
        </row>
        <row r="4349">
          <cell r="A4349" t="str">
            <v>61210-31046-00</v>
          </cell>
          <cell r="F4349">
            <v>31310.44</v>
          </cell>
        </row>
        <row r="4350">
          <cell r="A4350" t="str">
            <v>61210-31047-00</v>
          </cell>
          <cell r="F4350">
            <v>0</v>
          </cell>
        </row>
        <row r="4351">
          <cell r="A4351" t="str">
            <v>61210-31048-00</v>
          </cell>
          <cell r="F4351">
            <v>17573.93</v>
          </cell>
        </row>
        <row r="4352">
          <cell r="A4352" t="str">
            <v>61210-31049-00</v>
          </cell>
          <cell r="F4352">
            <v>0</v>
          </cell>
        </row>
        <row r="4353">
          <cell r="A4353" t="str">
            <v>61210-31050-00</v>
          </cell>
          <cell r="F4353">
            <v>0</v>
          </cell>
        </row>
        <row r="4354">
          <cell r="A4354" t="str">
            <v>61210-31051-00</v>
          </cell>
          <cell r="F4354">
            <v>0</v>
          </cell>
        </row>
        <row r="4355">
          <cell r="A4355" t="str">
            <v>61210-31053-00</v>
          </cell>
          <cell r="F4355">
            <v>0</v>
          </cell>
        </row>
        <row r="4356">
          <cell r="A4356" t="str">
            <v>61210-31054-00</v>
          </cell>
          <cell r="F4356">
            <v>0</v>
          </cell>
        </row>
        <row r="4357">
          <cell r="A4357" t="str">
            <v>61210-31055-00</v>
          </cell>
          <cell r="F4357">
            <v>8409.64</v>
          </cell>
        </row>
        <row r="4358">
          <cell r="A4358" t="str">
            <v>61210-31056-00</v>
          </cell>
          <cell r="F4358">
            <v>0</v>
          </cell>
        </row>
        <row r="4359">
          <cell r="A4359" t="str">
            <v>61210-31057-00</v>
          </cell>
          <cell r="F4359">
            <v>0</v>
          </cell>
        </row>
        <row r="4360">
          <cell r="A4360" t="str">
            <v>61210-31058-00</v>
          </cell>
          <cell r="F4360">
            <v>0</v>
          </cell>
        </row>
        <row r="4361">
          <cell r="A4361" t="str">
            <v>61210-31059-00</v>
          </cell>
          <cell r="F4361">
            <v>0</v>
          </cell>
        </row>
        <row r="4362">
          <cell r="A4362" t="str">
            <v>61210-31060-00</v>
          </cell>
          <cell r="F4362">
            <v>0</v>
          </cell>
        </row>
        <row r="4363">
          <cell r="A4363" t="str">
            <v>61210-31061-00</v>
          </cell>
          <cell r="F4363">
            <v>0</v>
          </cell>
        </row>
        <row r="4364">
          <cell r="A4364" t="str">
            <v>61210-31062-00</v>
          </cell>
          <cell r="F4364">
            <v>0</v>
          </cell>
        </row>
        <row r="4365">
          <cell r="A4365" t="str">
            <v>61210-31063-00</v>
          </cell>
          <cell r="F4365">
            <v>0</v>
          </cell>
        </row>
        <row r="4366">
          <cell r="A4366" t="str">
            <v>61210-31064-00</v>
          </cell>
          <cell r="F4366">
            <v>0</v>
          </cell>
        </row>
        <row r="4367">
          <cell r="A4367" t="str">
            <v>61210-31065-00</v>
          </cell>
          <cell r="F4367">
            <v>4593.16</v>
          </cell>
        </row>
        <row r="4368">
          <cell r="A4368" t="str">
            <v>61210-31066-00</v>
          </cell>
          <cell r="F4368">
            <v>499</v>
          </cell>
        </row>
        <row r="4369">
          <cell r="A4369" t="str">
            <v>61210-31067-00</v>
          </cell>
          <cell r="F4369">
            <v>1874.7</v>
          </cell>
        </row>
        <row r="4370">
          <cell r="A4370" t="str">
            <v>61210-31068-00</v>
          </cell>
          <cell r="F4370">
            <v>0</v>
          </cell>
        </row>
        <row r="4371">
          <cell r="A4371" t="str">
            <v>61210-31069-00</v>
          </cell>
          <cell r="F4371">
            <v>4716.75</v>
          </cell>
        </row>
        <row r="4372">
          <cell r="A4372" t="str">
            <v>61210-31070-00</v>
          </cell>
          <cell r="F4372">
            <v>5997</v>
          </cell>
        </row>
        <row r="4373">
          <cell r="A4373" t="str">
            <v>61210-31071-00</v>
          </cell>
          <cell r="F4373">
            <v>0</v>
          </cell>
        </row>
        <row r="4374">
          <cell r="A4374" t="str">
            <v>61210-31072-00</v>
          </cell>
          <cell r="F4374">
            <v>0</v>
          </cell>
        </row>
        <row r="4375">
          <cell r="A4375" t="str">
            <v>61210-31073-00</v>
          </cell>
          <cell r="F4375">
            <v>0</v>
          </cell>
        </row>
        <row r="4376">
          <cell r="A4376" t="str">
            <v>61210-31074-00</v>
          </cell>
          <cell r="F4376">
            <v>0</v>
          </cell>
        </row>
        <row r="4377">
          <cell r="A4377" t="str">
            <v>61210-31075-00</v>
          </cell>
          <cell r="F4377">
            <v>0</v>
          </cell>
        </row>
        <row r="4378">
          <cell r="A4378" t="str">
            <v>61210-31076-00</v>
          </cell>
          <cell r="F4378">
            <v>0</v>
          </cell>
        </row>
        <row r="4379">
          <cell r="A4379" t="str">
            <v>61210-31077-00</v>
          </cell>
          <cell r="F4379">
            <v>0</v>
          </cell>
        </row>
        <row r="4380">
          <cell r="A4380" t="str">
            <v>61210-31078-00</v>
          </cell>
          <cell r="F4380">
            <v>0</v>
          </cell>
        </row>
        <row r="4381">
          <cell r="A4381" t="str">
            <v>61210-41001-00</v>
          </cell>
          <cell r="F4381">
            <v>19103.97</v>
          </cell>
        </row>
        <row r="4382">
          <cell r="A4382" t="str">
            <v>61210-41002-00</v>
          </cell>
          <cell r="F4382">
            <v>34861.449999999997</v>
          </cell>
        </row>
        <row r="4383">
          <cell r="A4383" t="str">
            <v>61210-41003-00</v>
          </cell>
          <cell r="F4383">
            <v>32072.82</v>
          </cell>
        </row>
        <row r="4384">
          <cell r="A4384" t="str">
            <v>61210-41004-00</v>
          </cell>
          <cell r="F4384">
            <v>15225.47</v>
          </cell>
        </row>
        <row r="4385">
          <cell r="A4385" t="str">
            <v>61210-41005-00</v>
          </cell>
          <cell r="F4385">
            <v>7550.54</v>
          </cell>
        </row>
        <row r="4386">
          <cell r="A4386" t="str">
            <v>61210-41009-00</v>
          </cell>
          <cell r="F4386">
            <v>7483.42</v>
          </cell>
        </row>
        <row r="4387">
          <cell r="A4387" t="str">
            <v>61210-41029-00</v>
          </cell>
          <cell r="F4387">
            <v>1457.77</v>
          </cell>
        </row>
        <row r="4388">
          <cell r="A4388" t="str">
            <v>61210-41030-00</v>
          </cell>
          <cell r="F4388">
            <v>9957.08</v>
          </cell>
        </row>
        <row r="4389">
          <cell r="A4389" t="str">
            <v>61210-41031-00</v>
          </cell>
          <cell r="F4389">
            <v>697.3</v>
          </cell>
        </row>
        <row r="4390">
          <cell r="A4390" t="str">
            <v>61210-41032-00</v>
          </cell>
          <cell r="F4390">
            <v>2014.67</v>
          </cell>
        </row>
        <row r="4391">
          <cell r="A4391" t="str">
            <v>61210-41041-00</v>
          </cell>
          <cell r="F4391">
            <v>3954.31</v>
          </cell>
        </row>
        <row r="4392">
          <cell r="A4392" t="str">
            <v>61210-41049-00</v>
          </cell>
          <cell r="F4392">
            <v>3680.63</v>
          </cell>
        </row>
        <row r="4393">
          <cell r="A4393" t="str">
            <v>61210-43001-00</v>
          </cell>
          <cell r="F4393">
            <v>759.96</v>
          </cell>
        </row>
        <row r="4394">
          <cell r="A4394" t="str">
            <v>61210-43002-00</v>
          </cell>
          <cell r="F4394">
            <v>9666.69</v>
          </cell>
        </row>
        <row r="4395">
          <cell r="A4395" t="str">
            <v>61210-43003-00</v>
          </cell>
          <cell r="F4395">
            <v>4944.95</v>
          </cell>
        </row>
        <row r="4396">
          <cell r="A4396" t="str">
            <v>61210-43005-00</v>
          </cell>
          <cell r="F4396">
            <v>11939.25</v>
          </cell>
        </row>
        <row r="4397">
          <cell r="A4397" t="str">
            <v>61210-43009-00</v>
          </cell>
          <cell r="F4397">
            <v>2354.02</v>
          </cell>
        </row>
        <row r="4398">
          <cell r="A4398" t="str">
            <v>61210-43029-00</v>
          </cell>
          <cell r="F4398">
            <v>21184.35</v>
          </cell>
        </row>
        <row r="4399">
          <cell r="A4399" t="str">
            <v>61210-43030-00</v>
          </cell>
          <cell r="F4399">
            <v>16447.28</v>
          </cell>
        </row>
        <row r="4400">
          <cell r="A4400" t="str">
            <v>61210-43031-00</v>
          </cell>
          <cell r="F4400">
            <v>2883.57</v>
          </cell>
        </row>
        <row r="4401">
          <cell r="A4401" t="str">
            <v>61210-43032-00</v>
          </cell>
          <cell r="F4401">
            <v>3639.61</v>
          </cell>
        </row>
        <row r="4402">
          <cell r="A4402" t="str">
            <v>61210-43041-00</v>
          </cell>
          <cell r="F4402">
            <v>8410.77</v>
          </cell>
        </row>
        <row r="4403">
          <cell r="A4403" t="str">
            <v>61210-45001-00</v>
          </cell>
          <cell r="F4403">
            <v>2186.79</v>
          </cell>
        </row>
        <row r="4404">
          <cell r="A4404" t="str">
            <v>61210-45002-00</v>
          </cell>
          <cell r="F4404">
            <v>20856.169999999998</v>
          </cell>
        </row>
        <row r="4405">
          <cell r="A4405" t="str">
            <v>61210-45003-00</v>
          </cell>
          <cell r="F4405">
            <v>97.61</v>
          </cell>
        </row>
        <row r="4406">
          <cell r="A4406" t="str">
            <v>61210-45005-00</v>
          </cell>
          <cell r="F4406">
            <v>5130.3900000000003</v>
          </cell>
        </row>
        <row r="4407">
          <cell r="A4407" t="str">
            <v>61210-45009-00</v>
          </cell>
          <cell r="F4407">
            <v>247</v>
          </cell>
        </row>
        <row r="4408">
          <cell r="A4408" t="str">
            <v>61210-45029-00</v>
          </cell>
          <cell r="F4408">
            <v>19097.36</v>
          </cell>
        </row>
        <row r="4409">
          <cell r="A4409" t="str">
            <v>61210-45030-00</v>
          </cell>
          <cell r="F4409">
            <v>2149.15</v>
          </cell>
        </row>
        <row r="4410">
          <cell r="A4410" t="str">
            <v>61210-45031-00</v>
          </cell>
          <cell r="F4410">
            <v>210</v>
          </cell>
        </row>
        <row r="4411">
          <cell r="A4411" t="str">
            <v>61210-45032-00</v>
          </cell>
          <cell r="F4411">
            <v>0</v>
          </cell>
        </row>
        <row r="4412">
          <cell r="A4412" t="str">
            <v>61210-51001-00</v>
          </cell>
          <cell r="F4412">
            <v>7494.79</v>
          </cell>
        </row>
        <row r="4413">
          <cell r="A4413" t="str">
            <v>61210-53001-00</v>
          </cell>
          <cell r="F4413">
            <v>0</v>
          </cell>
        </row>
        <row r="4414">
          <cell r="A4414" t="str">
            <v>61210-61030-00</v>
          </cell>
          <cell r="F4414">
            <v>2075.7600000000002</v>
          </cell>
        </row>
        <row r="4415">
          <cell r="A4415" t="str">
            <v>61210-61031-00</v>
          </cell>
          <cell r="F4415">
            <v>809.17</v>
          </cell>
        </row>
        <row r="4416">
          <cell r="A4416" t="str">
            <v>61210-62030-00</v>
          </cell>
          <cell r="F4416">
            <v>2391.59</v>
          </cell>
        </row>
        <row r="4417">
          <cell r="A4417" t="str">
            <v>61210-62032-00</v>
          </cell>
          <cell r="F4417">
            <v>484.82</v>
          </cell>
        </row>
        <row r="4418">
          <cell r="A4418" t="str">
            <v>61210-63030-00</v>
          </cell>
          <cell r="F4418">
            <v>1129.3599999999999</v>
          </cell>
        </row>
        <row r="4419">
          <cell r="A4419" t="str">
            <v>61210-63032-00</v>
          </cell>
          <cell r="F4419">
            <v>3878.85</v>
          </cell>
        </row>
        <row r="4420">
          <cell r="A4420" t="str">
            <v>61210-64032-00</v>
          </cell>
          <cell r="F4420">
            <v>881.75</v>
          </cell>
        </row>
        <row r="4421">
          <cell r="A4421" t="str">
            <v>61210-81001-00</v>
          </cell>
          <cell r="F4421">
            <v>0</v>
          </cell>
        </row>
        <row r="4422">
          <cell r="A4422" t="str">
            <v>61210-83001-00</v>
          </cell>
          <cell r="F4422">
            <v>63339.58</v>
          </cell>
        </row>
        <row r="4423">
          <cell r="A4423" t="str">
            <v>61210-84001-00</v>
          </cell>
          <cell r="F4423">
            <v>0</v>
          </cell>
        </row>
        <row r="4424">
          <cell r="A4424" t="str">
            <v>61210-85001-00</v>
          </cell>
          <cell r="F4424">
            <v>170</v>
          </cell>
        </row>
        <row r="4425">
          <cell r="A4425" t="str">
            <v>61250-00000-00</v>
          </cell>
          <cell r="F4425">
            <v>0</v>
          </cell>
        </row>
        <row r="4426">
          <cell r="A4426" t="str">
            <v>61250-11001-00</v>
          </cell>
          <cell r="F4426">
            <v>0</v>
          </cell>
        </row>
        <row r="4427">
          <cell r="A4427" t="str">
            <v>61250-11005-00</v>
          </cell>
          <cell r="F4427">
            <v>0</v>
          </cell>
        </row>
        <row r="4428">
          <cell r="A4428" t="str">
            <v>61250-13006-00</v>
          </cell>
          <cell r="F4428">
            <v>0</v>
          </cell>
        </row>
        <row r="4429">
          <cell r="A4429" t="str">
            <v>61250-13007-00</v>
          </cell>
          <cell r="F4429">
            <v>0</v>
          </cell>
        </row>
        <row r="4430">
          <cell r="A4430" t="str">
            <v>61250-15001-00</v>
          </cell>
          <cell r="F4430">
            <v>0</v>
          </cell>
        </row>
        <row r="4431">
          <cell r="A4431" t="str">
            <v>61250-15005-00</v>
          </cell>
          <cell r="F4431">
            <v>0</v>
          </cell>
        </row>
        <row r="4432">
          <cell r="A4432" t="str">
            <v>61250-31000-00</v>
          </cell>
          <cell r="F4432">
            <v>0</v>
          </cell>
        </row>
        <row r="4433">
          <cell r="A4433" t="str">
            <v>61250-31001-00</v>
          </cell>
          <cell r="F4433">
            <v>0</v>
          </cell>
        </row>
        <row r="4434">
          <cell r="A4434" t="str">
            <v>61250-31010-00</v>
          </cell>
          <cell r="F4434">
            <v>9158.42</v>
          </cell>
        </row>
        <row r="4435">
          <cell r="A4435" t="str">
            <v>61250-31011-00</v>
          </cell>
          <cell r="F4435">
            <v>3120.88</v>
          </cell>
        </row>
        <row r="4436">
          <cell r="A4436" t="str">
            <v>61250-31012-00</v>
          </cell>
          <cell r="F4436">
            <v>115.59</v>
          </cell>
        </row>
        <row r="4437">
          <cell r="A4437" t="str">
            <v>61250-31013-00</v>
          </cell>
          <cell r="F4437">
            <v>0</v>
          </cell>
        </row>
        <row r="4438">
          <cell r="A4438" t="str">
            <v>61250-31014-00</v>
          </cell>
          <cell r="F4438">
            <v>0</v>
          </cell>
        </row>
        <row r="4439">
          <cell r="A4439" t="str">
            <v>61250-31015-00</v>
          </cell>
          <cell r="F4439">
            <v>0</v>
          </cell>
        </row>
        <row r="4440">
          <cell r="A4440" t="str">
            <v>61250-31016-00</v>
          </cell>
          <cell r="F4440">
            <v>0</v>
          </cell>
        </row>
        <row r="4441">
          <cell r="A4441" t="str">
            <v>61250-31017-00</v>
          </cell>
          <cell r="F4441">
            <v>0</v>
          </cell>
        </row>
        <row r="4442">
          <cell r="A4442" t="str">
            <v>61250-31018-00</v>
          </cell>
          <cell r="F4442">
            <v>2960.69</v>
          </cell>
        </row>
        <row r="4443">
          <cell r="A4443" t="str">
            <v>61250-31019-00</v>
          </cell>
          <cell r="F4443">
            <v>1146.8800000000001</v>
          </cell>
        </row>
        <row r="4444">
          <cell r="A4444" t="str">
            <v>61250-31020-00</v>
          </cell>
          <cell r="F4444">
            <v>0</v>
          </cell>
        </row>
        <row r="4445">
          <cell r="A4445" t="str">
            <v>61250-31021-00</v>
          </cell>
          <cell r="F4445">
            <v>0</v>
          </cell>
        </row>
        <row r="4446">
          <cell r="A4446" t="str">
            <v>61250-31022-00</v>
          </cell>
          <cell r="F4446">
            <v>2597.75</v>
          </cell>
        </row>
        <row r="4447">
          <cell r="A4447" t="str">
            <v>61250-31023-00</v>
          </cell>
          <cell r="F4447">
            <v>11124</v>
          </cell>
        </row>
        <row r="4448">
          <cell r="A4448" t="str">
            <v>61250-31024-00</v>
          </cell>
          <cell r="F4448">
            <v>0</v>
          </cell>
        </row>
        <row r="4449">
          <cell r="A4449" t="str">
            <v>61250-31025-00</v>
          </cell>
          <cell r="F4449">
            <v>0</v>
          </cell>
        </row>
        <row r="4450">
          <cell r="A4450" t="str">
            <v>61250-31026-00</v>
          </cell>
          <cell r="F4450">
            <v>4294.6499999999996</v>
          </cell>
        </row>
        <row r="4451">
          <cell r="A4451" t="str">
            <v>61250-31027-00</v>
          </cell>
          <cell r="F4451">
            <v>0</v>
          </cell>
        </row>
        <row r="4452">
          <cell r="A4452" t="str">
            <v>61250-31028-00</v>
          </cell>
          <cell r="F4452">
            <v>7976.77</v>
          </cell>
        </row>
        <row r="4453">
          <cell r="A4453" t="str">
            <v>61250-31029-00</v>
          </cell>
          <cell r="F4453">
            <v>1796.57</v>
          </cell>
        </row>
        <row r="4454">
          <cell r="A4454" t="str">
            <v>61250-31030-00</v>
          </cell>
          <cell r="F4454">
            <v>8569.2099999999991</v>
          </cell>
        </row>
        <row r="4455">
          <cell r="A4455" t="str">
            <v>61250-31031-00</v>
          </cell>
          <cell r="F4455">
            <v>1303.54</v>
          </cell>
        </row>
        <row r="4456">
          <cell r="A4456" t="str">
            <v>61250-31032-00</v>
          </cell>
          <cell r="F4456">
            <v>3002.11</v>
          </cell>
        </row>
        <row r="4457">
          <cell r="A4457" t="str">
            <v>61250-31033-00</v>
          </cell>
          <cell r="F4457">
            <v>7001.05</v>
          </cell>
        </row>
        <row r="4458">
          <cell r="A4458" t="str">
            <v>61250-31034-00</v>
          </cell>
          <cell r="F4458">
            <v>0</v>
          </cell>
        </row>
        <row r="4459">
          <cell r="A4459" t="str">
            <v>61250-31035-00</v>
          </cell>
          <cell r="F4459">
            <v>0</v>
          </cell>
        </row>
        <row r="4460">
          <cell r="A4460" t="str">
            <v>61250-31036-00</v>
          </cell>
          <cell r="F4460">
            <v>0</v>
          </cell>
        </row>
        <row r="4461">
          <cell r="A4461" t="str">
            <v>61250-31037-00</v>
          </cell>
          <cell r="F4461">
            <v>0</v>
          </cell>
        </row>
        <row r="4462">
          <cell r="A4462" t="str">
            <v>61250-31038-00</v>
          </cell>
          <cell r="F4462">
            <v>0</v>
          </cell>
        </row>
        <row r="4463">
          <cell r="A4463" t="str">
            <v>61250-31039-00</v>
          </cell>
          <cell r="F4463">
            <v>0</v>
          </cell>
        </row>
        <row r="4464">
          <cell r="A4464" t="str">
            <v>61250-31040-00</v>
          </cell>
          <cell r="F4464">
            <v>0</v>
          </cell>
        </row>
        <row r="4465">
          <cell r="A4465" t="str">
            <v>61250-31041-00</v>
          </cell>
          <cell r="F4465">
            <v>3127.44</v>
          </cell>
        </row>
        <row r="4466">
          <cell r="A4466" t="str">
            <v>61250-31042-00</v>
          </cell>
          <cell r="F4466">
            <v>0</v>
          </cell>
        </row>
        <row r="4467">
          <cell r="A4467" t="str">
            <v>61250-31043-00</v>
          </cell>
          <cell r="F4467">
            <v>9162.5499999999993</v>
          </cell>
        </row>
        <row r="4468">
          <cell r="A4468" t="str">
            <v>61250-31044-00</v>
          </cell>
          <cell r="F4468">
            <v>0</v>
          </cell>
        </row>
        <row r="4469">
          <cell r="A4469" t="str">
            <v>61250-31045-00</v>
          </cell>
          <cell r="F4469">
            <v>0</v>
          </cell>
        </row>
        <row r="4470">
          <cell r="A4470" t="str">
            <v>61250-31046-00</v>
          </cell>
          <cell r="F4470">
            <v>6172.2</v>
          </cell>
        </row>
        <row r="4471">
          <cell r="A4471" t="str">
            <v>61250-31047-00</v>
          </cell>
          <cell r="F4471">
            <v>0</v>
          </cell>
        </row>
        <row r="4472">
          <cell r="A4472" t="str">
            <v>61250-31048-00</v>
          </cell>
          <cell r="F4472">
            <v>5735.45</v>
          </cell>
        </row>
        <row r="4473">
          <cell r="A4473" t="str">
            <v>61250-31049-00</v>
          </cell>
          <cell r="F4473">
            <v>0</v>
          </cell>
        </row>
        <row r="4474">
          <cell r="A4474" t="str">
            <v>61250-31050-00</v>
          </cell>
          <cell r="F4474">
            <v>0</v>
          </cell>
        </row>
        <row r="4475">
          <cell r="A4475" t="str">
            <v>61250-31051-00</v>
          </cell>
          <cell r="F4475">
            <v>0</v>
          </cell>
        </row>
        <row r="4476">
          <cell r="A4476" t="str">
            <v>61250-31053-00</v>
          </cell>
          <cell r="F4476">
            <v>0</v>
          </cell>
        </row>
        <row r="4477">
          <cell r="A4477" t="str">
            <v>61250-31054-00</v>
          </cell>
          <cell r="F4477">
            <v>0</v>
          </cell>
        </row>
        <row r="4478">
          <cell r="A4478" t="str">
            <v>61250-31055-00</v>
          </cell>
          <cell r="F4478">
            <v>2131.58</v>
          </cell>
        </row>
        <row r="4479">
          <cell r="A4479" t="str">
            <v>61250-31056-00</v>
          </cell>
          <cell r="F4479">
            <v>0</v>
          </cell>
        </row>
        <row r="4480">
          <cell r="A4480" t="str">
            <v>61250-31057-00</v>
          </cell>
          <cell r="F4480">
            <v>0</v>
          </cell>
        </row>
        <row r="4481">
          <cell r="A4481" t="str">
            <v>61250-31058-00</v>
          </cell>
          <cell r="F4481">
            <v>0</v>
          </cell>
        </row>
        <row r="4482">
          <cell r="A4482" t="str">
            <v>61250-31059-00</v>
          </cell>
          <cell r="F4482">
            <v>0</v>
          </cell>
        </row>
        <row r="4483">
          <cell r="A4483" t="str">
            <v>61250-31060-00</v>
          </cell>
          <cell r="F4483">
            <v>0</v>
          </cell>
        </row>
        <row r="4484">
          <cell r="A4484" t="str">
            <v>61250-31061-00</v>
          </cell>
          <cell r="F4484">
            <v>0</v>
          </cell>
        </row>
        <row r="4485">
          <cell r="A4485" t="str">
            <v>61250-31062-00</v>
          </cell>
          <cell r="F4485">
            <v>0</v>
          </cell>
        </row>
        <row r="4486">
          <cell r="A4486" t="str">
            <v>61250-31063-00</v>
          </cell>
          <cell r="F4486">
            <v>0</v>
          </cell>
        </row>
        <row r="4487">
          <cell r="A4487" t="str">
            <v>61250-31064-00</v>
          </cell>
          <cell r="F4487">
            <v>0</v>
          </cell>
        </row>
        <row r="4488">
          <cell r="A4488" t="str">
            <v>61250-31065-00</v>
          </cell>
          <cell r="F4488">
            <v>870.08</v>
          </cell>
        </row>
        <row r="4489">
          <cell r="A4489" t="str">
            <v>61250-31066-00</v>
          </cell>
          <cell r="F4489">
            <v>0</v>
          </cell>
        </row>
        <row r="4490">
          <cell r="A4490" t="str">
            <v>61250-31067-00</v>
          </cell>
          <cell r="F4490">
            <v>557.16999999999996</v>
          </cell>
        </row>
        <row r="4491">
          <cell r="A4491" t="str">
            <v>61250-31068-00</v>
          </cell>
          <cell r="F4491">
            <v>936.66</v>
          </cell>
        </row>
        <row r="4492">
          <cell r="A4492" t="str">
            <v>61250-31069-00</v>
          </cell>
          <cell r="F4492">
            <v>0</v>
          </cell>
        </row>
        <row r="4493">
          <cell r="A4493" t="str">
            <v>61250-31070-00</v>
          </cell>
          <cell r="F4493">
            <v>2509.2600000000002</v>
          </cell>
        </row>
        <row r="4494">
          <cell r="A4494" t="str">
            <v>61250-31071-00</v>
          </cell>
          <cell r="F4494">
            <v>0</v>
          </cell>
        </row>
        <row r="4495">
          <cell r="A4495" t="str">
            <v>61250-31072-00</v>
          </cell>
          <cell r="F4495">
            <v>0</v>
          </cell>
        </row>
        <row r="4496">
          <cell r="A4496" t="str">
            <v>61250-31073-00</v>
          </cell>
          <cell r="F4496">
            <v>0</v>
          </cell>
        </row>
        <row r="4497">
          <cell r="A4497" t="str">
            <v>61250-31074-00</v>
          </cell>
          <cell r="F4497">
            <v>0</v>
          </cell>
        </row>
        <row r="4498">
          <cell r="A4498" t="str">
            <v>61250-31075-00</v>
          </cell>
          <cell r="F4498">
            <v>0</v>
          </cell>
        </row>
        <row r="4499">
          <cell r="A4499" t="str">
            <v>61250-31076-00</v>
          </cell>
          <cell r="F4499">
            <v>0</v>
          </cell>
        </row>
        <row r="4500">
          <cell r="A4500" t="str">
            <v>61250-31077-00</v>
          </cell>
          <cell r="F4500">
            <v>0</v>
          </cell>
        </row>
        <row r="4501">
          <cell r="A4501" t="str">
            <v>61250-31078-00</v>
          </cell>
          <cell r="F4501">
            <v>0</v>
          </cell>
        </row>
        <row r="4502">
          <cell r="A4502" t="str">
            <v>61250-41001-00</v>
          </cell>
          <cell r="F4502">
            <v>8018.09</v>
          </cell>
        </row>
        <row r="4503">
          <cell r="A4503" t="str">
            <v>61250-41002-00</v>
          </cell>
          <cell r="F4503">
            <v>7949.85</v>
          </cell>
        </row>
        <row r="4504">
          <cell r="A4504" t="str">
            <v>61250-41003-00</v>
          </cell>
          <cell r="F4504">
            <v>3931.27</v>
          </cell>
        </row>
        <row r="4505">
          <cell r="A4505" t="str">
            <v>61250-41004-00</v>
          </cell>
          <cell r="F4505">
            <v>6942.12</v>
          </cell>
        </row>
        <row r="4506">
          <cell r="A4506" t="str">
            <v>61250-41005-00</v>
          </cell>
          <cell r="F4506">
            <v>1349.9</v>
          </cell>
        </row>
        <row r="4507">
          <cell r="A4507" t="str">
            <v>61250-41009-00</v>
          </cell>
          <cell r="F4507">
            <v>2316.17</v>
          </cell>
        </row>
        <row r="4508">
          <cell r="A4508" t="str">
            <v>61250-41029-00</v>
          </cell>
          <cell r="F4508">
            <v>0</v>
          </cell>
        </row>
        <row r="4509">
          <cell r="A4509" t="str">
            <v>61250-41030-00</v>
          </cell>
          <cell r="F4509">
            <v>8037.13</v>
          </cell>
        </row>
        <row r="4510">
          <cell r="A4510" t="str">
            <v>61250-41031-00</v>
          </cell>
          <cell r="F4510">
            <v>1114.3499999999999</v>
          </cell>
        </row>
        <row r="4511">
          <cell r="A4511" t="str">
            <v>61250-41032-00</v>
          </cell>
          <cell r="F4511">
            <v>250.31</v>
          </cell>
        </row>
        <row r="4512">
          <cell r="A4512" t="str">
            <v>61250-41041-00</v>
          </cell>
          <cell r="F4512">
            <v>137.46</v>
          </cell>
        </row>
        <row r="4513">
          <cell r="A4513" t="str">
            <v>61250-41049-00</v>
          </cell>
          <cell r="F4513">
            <v>0</v>
          </cell>
        </row>
        <row r="4514">
          <cell r="A4514" t="str">
            <v>61250-41052-00</v>
          </cell>
          <cell r="F4514">
            <v>0</v>
          </cell>
        </row>
        <row r="4515">
          <cell r="A4515" t="str">
            <v>61250-43001-00</v>
          </cell>
          <cell r="F4515">
            <v>1837.29</v>
          </cell>
        </row>
        <row r="4516">
          <cell r="A4516" t="str">
            <v>61250-43002-00</v>
          </cell>
          <cell r="F4516">
            <v>7867.15</v>
          </cell>
        </row>
        <row r="4517">
          <cell r="A4517" t="str">
            <v>61250-43003-00</v>
          </cell>
          <cell r="F4517">
            <v>282.35000000000002</v>
          </cell>
        </row>
        <row r="4518">
          <cell r="A4518" t="str">
            <v>61250-43005-00</v>
          </cell>
          <cell r="F4518">
            <v>11916.42</v>
          </cell>
        </row>
        <row r="4519">
          <cell r="A4519" t="str">
            <v>61250-43009-00</v>
          </cell>
          <cell r="F4519">
            <v>3536.39</v>
          </cell>
        </row>
        <row r="4520">
          <cell r="A4520" t="str">
            <v>61250-43029-00</v>
          </cell>
          <cell r="F4520">
            <v>3930.16</v>
          </cell>
        </row>
        <row r="4521">
          <cell r="A4521" t="str">
            <v>61250-43030-00</v>
          </cell>
          <cell r="F4521">
            <v>11798.57</v>
          </cell>
        </row>
        <row r="4522">
          <cell r="A4522" t="str">
            <v>61250-43031-00</v>
          </cell>
          <cell r="F4522">
            <v>4044.29</v>
          </cell>
        </row>
        <row r="4523">
          <cell r="A4523" t="str">
            <v>61250-43032-00</v>
          </cell>
          <cell r="F4523">
            <v>1475.82</v>
          </cell>
        </row>
        <row r="4524">
          <cell r="A4524" t="str">
            <v>61250-43041-00</v>
          </cell>
          <cell r="F4524">
            <v>3769.18</v>
          </cell>
        </row>
        <row r="4525">
          <cell r="A4525" t="str">
            <v>61250-43052-00</v>
          </cell>
          <cell r="F4525">
            <v>0</v>
          </cell>
        </row>
        <row r="4526">
          <cell r="A4526" t="str">
            <v>61250-45001-00</v>
          </cell>
          <cell r="F4526">
            <v>469.18</v>
          </cell>
        </row>
        <row r="4527">
          <cell r="A4527" t="str">
            <v>61250-45002-00</v>
          </cell>
          <cell r="F4527">
            <v>8246.69</v>
          </cell>
        </row>
        <row r="4528">
          <cell r="A4528" t="str">
            <v>61250-45003-00</v>
          </cell>
          <cell r="F4528">
            <v>0</v>
          </cell>
        </row>
        <row r="4529">
          <cell r="A4529" t="str">
            <v>61250-45005-00</v>
          </cell>
          <cell r="F4529">
            <v>6825.29</v>
          </cell>
        </row>
        <row r="4530">
          <cell r="A4530" t="str">
            <v>61250-45009-00</v>
          </cell>
          <cell r="F4530">
            <v>0</v>
          </cell>
        </row>
        <row r="4531">
          <cell r="A4531" t="str">
            <v>61250-45029-00</v>
          </cell>
          <cell r="F4531">
            <v>6762.38</v>
          </cell>
        </row>
        <row r="4532">
          <cell r="A4532" t="str">
            <v>61250-45030-00</v>
          </cell>
          <cell r="F4532">
            <v>13067.42</v>
          </cell>
        </row>
        <row r="4533">
          <cell r="A4533" t="str">
            <v>61250-45031-00</v>
          </cell>
          <cell r="F4533">
            <v>3021.03</v>
          </cell>
        </row>
        <row r="4534">
          <cell r="A4534" t="str">
            <v>61250-45032-00</v>
          </cell>
          <cell r="F4534">
            <v>2703.07</v>
          </cell>
        </row>
        <row r="4535">
          <cell r="A4535" t="str">
            <v>61250-45052-00</v>
          </cell>
          <cell r="F4535">
            <v>0</v>
          </cell>
        </row>
        <row r="4536">
          <cell r="A4536" t="str">
            <v>61250-51001-00</v>
          </cell>
          <cell r="F4536">
            <v>10541.27</v>
          </cell>
        </row>
        <row r="4537">
          <cell r="A4537" t="str">
            <v>61250-51005-00</v>
          </cell>
          <cell r="F4537">
            <v>0</v>
          </cell>
        </row>
        <row r="4538">
          <cell r="A4538" t="str">
            <v>61250-53001-00</v>
          </cell>
          <cell r="F4538">
            <v>0</v>
          </cell>
        </row>
        <row r="4539">
          <cell r="A4539" t="str">
            <v>61250-61030-00</v>
          </cell>
          <cell r="F4539">
            <v>6851.7</v>
          </cell>
        </row>
        <row r="4540">
          <cell r="A4540" t="str">
            <v>61250-61031-00</v>
          </cell>
          <cell r="F4540">
            <v>6348.41</v>
          </cell>
        </row>
        <row r="4541">
          <cell r="A4541" t="str">
            <v>61250-62030-00</v>
          </cell>
          <cell r="F4541">
            <v>9262.02</v>
          </cell>
        </row>
        <row r="4542">
          <cell r="A4542" t="str">
            <v>61250-62032-00</v>
          </cell>
          <cell r="F4542">
            <v>1077.8699999999999</v>
          </cell>
        </row>
        <row r="4543">
          <cell r="A4543" t="str">
            <v>61250-63030-00</v>
          </cell>
          <cell r="F4543">
            <v>12951.45</v>
          </cell>
        </row>
        <row r="4544">
          <cell r="A4544" t="str">
            <v>61250-63032-00</v>
          </cell>
          <cell r="F4544">
            <v>6242.93</v>
          </cell>
        </row>
        <row r="4545">
          <cell r="A4545" t="str">
            <v>61250-64032-00</v>
          </cell>
          <cell r="F4545">
            <v>3179.21</v>
          </cell>
        </row>
        <row r="4546">
          <cell r="A4546" t="str">
            <v>61250-81001-00</v>
          </cell>
          <cell r="F4546">
            <v>0</v>
          </cell>
        </row>
        <row r="4547">
          <cell r="A4547" t="str">
            <v>61250-81005-00</v>
          </cell>
          <cell r="F4547">
            <v>0</v>
          </cell>
        </row>
        <row r="4548">
          <cell r="A4548" t="str">
            <v>61250-83001-00</v>
          </cell>
          <cell r="F4548">
            <v>39705.760000000002</v>
          </cell>
        </row>
        <row r="4549">
          <cell r="A4549" t="str">
            <v>61250-84001-00</v>
          </cell>
          <cell r="F4549">
            <v>0</v>
          </cell>
        </row>
        <row r="4550">
          <cell r="A4550" t="str">
            <v>61250-85001-00</v>
          </cell>
          <cell r="F4550">
            <v>0</v>
          </cell>
        </row>
        <row r="4551">
          <cell r="A4551" t="str">
            <v>61300-00000-00</v>
          </cell>
          <cell r="F4551">
            <v>0</v>
          </cell>
        </row>
        <row r="4552">
          <cell r="A4552" t="str">
            <v>61300-31000-00</v>
          </cell>
          <cell r="F4552">
            <v>0</v>
          </cell>
        </row>
        <row r="4553">
          <cell r="A4553" t="str">
            <v>61300-31001-00</v>
          </cell>
          <cell r="F4553">
            <v>242114.93</v>
          </cell>
        </row>
        <row r="4554">
          <cell r="A4554" t="str">
            <v>61300-31010-00</v>
          </cell>
          <cell r="F4554">
            <v>0</v>
          </cell>
        </row>
        <row r="4555">
          <cell r="A4555" t="str">
            <v>61300-31011-00</v>
          </cell>
          <cell r="F4555">
            <v>0</v>
          </cell>
        </row>
        <row r="4556">
          <cell r="A4556" t="str">
            <v>61300-31012-00</v>
          </cell>
          <cell r="F4556">
            <v>0</v>
          </cell>
        </row>
        <row r="4557">
          <cell r="A4557" t="str">
            <v>61300-31013-00</v>
          </cell>
          <cell r="F4557">
            <v>0</v>
          </cell>
        </row>
        <row r="4558">
          <cell r="A4558" t="str">
            <v>61300-31014-00</v>
          </cell>
          <cell r="F4558">
            <v>0</v>
          </cell>
        </row>
        <row r="4559">
          <cell r="A4559" t="str">
            <v>61300-31015-00</v>
          </cell>
          <cell r="F4559">
            <v>0</v>
          </cell>
        </row>
        <row r="4560">
          <cell r="A4560" t="str">
            <v>61300-31016-00</v>
          </cell>
          <cell r="F4560">
            <v>0</v>
          </cell>
        </row>
        <row r="4561">
          <cell r="A4561" t="str">
            <v>61300-31017-00</v>
          </cell>
          <cell r="F4561">
            <v>0</v>
          </cell>
        </row>
        <row r="4562">
          <cell r="A4562" t="str">
            <v>61300-31018-00</v>
          </cell>
          <cell r="F4562">
            <v>0</v>
          </cell>
        </row>
        <row r="4563">
          <cell r="A4563" t="str">
            <v>61300-31019-00</v>
          </cell>
          <cell r="F4563">
            <v>0</v>
          </cell>
        </row>
        <row r="4564">
          <cell r="A4564" t="str">
            <v>61300-31020-00</v>
          </cell>
          <cell r="F4564">
            <v>0</v>
          </cell>
        </row>
        <row r="4565">
          <cell r="A4565" t="str">
            <v>61300-31021-00</v>
          </cell>
          <cell r="F4565">
            <v>0</v>
          </cell>
        </row>
        <row r="4566">
          <cell r="A4566" t="str">
            <v>61300-31022-00</v>
          </cell>
          <cell r="F4566">
            <v>0</v>
          </cell>
        </row>
        <row r="4567">
          <cell r="A4567" t="str">
            <v>61300-31023-00</v>
          </cell>
          <cell r="F4567">
            <v>0</v>
          </cell>
        </row>
        <row r="4568">
          <cell r="A4568" t="str">
            <v>61300-31024-00</v>
          </cell>
          <cell r="F4568">
            <v>0</v>
          </cell>
        </row>
        <row r="4569">
          <cell r="A4569" t="str">
            <v>61300-31025-00</v>
          </cell>
          <cell r="F4569">
            <v>0</v>
          </cell>
        </row>
        <row r="4570">
          <cell r="A4570" t="str">
            <v>61300-31026-00</v>
          </cell>
          <cell r="F4570">
            <v>0</v>
          </cell>
        </row>
        <row r="4571">
          <cell r="A4571" t="str">
            <v>61300-31027-00</v>
          </cell>
          <cell r="F4571">
            <v>0</v>
          </cell>
        </row>
        <row r="4572">
          <cell r="A4572" t="str">
            <v>61300-31028-00</v>
          </cell>
          <cell r="F4572">
            <v>0</v>
          </cell>
        </row>
        <row r="4573">
          <cell r="A4573" t="str">
            <v>61300-31029-00</v>
          </cell>
          <cell r="F4573">
            <v>0</v>
          </cell>
        </row>
        <row r="4574">
          <cell r="A4574" t="str">
            <v>61300-31030-00</v>
          </cell>
          <cell r="F4574">
            <v>0</v>
          </cell>
        </row>
        <row r="4575">
          <cell r="A4575" t="str">
            <v>61300-31031-00</v>
          </cell>
          <cell r="F4575">
            <v>0</v>
          </cell>
        </row>
        <row r="4576">
          <cell r="A4576" t="str">
            <v>61300-31032-00</v>
          </cell>
          <cell r="F4576">
            <v>0</v>
          </cell>
        </row>
        <row r="4577">
          <cell r="A4577" t="str">
            <v>61300-31033-00</v>
          </cell>
          <cell r="F4577">
            <v>0</v>
          </cell>
        </row>
        <row r="4578">
          <cell r="A4578" t="str">
            <v>61300-31034-00</v>
          </cell>
          <cell r="F4578">
            <v>0</v>
          </cell>
        </row>
        <row r="4579">
          <cell r="A4579" t="str">
            <v>61300-31035-00</v>
          </cell>
          <cell r="F4579">
            <v>0</v>
          </cell>
        </row>
        <row r="4580">
          <cell r="A4580" t="str">
            <v>61300-31036-00</v>
          </cell>
          <cell r="F4580">
            <v>0</v>
          </cell>
        </row>
        <row r="4581">
          <cell r="A4581" t="str">
            <v>61300-31037-00</v>
          </cell>
          <cell r="F4581">
            <v>0</v>
          </cell>
        </row>
        <row r="4582">
          <cell r="A4582" t="str">
            <v>61300-31038-00</v>
          </cell>
          <cell r="F4582">
            <v>0</v>
          </cell>
        </row>
        <row r="4583">
          <cell r="A4583" t="str">
            <v>61300-31039-00</v>
          </cell>
          <cell r="F4583">
            <v>0</v>
          </cell>
        </row>
        <row r="4584">
          <cell r="A4584" t="str">
            <v>61300-31040-00</v>
          </cell>
          <cell r="F4584">
            <v>0</v>
          </cell>
        </row>
        <row r="4585">
          <cell r="A4585" t="str">
            <v>61300-31041-00</v>
          </cell>
          <cell r="F4585">
            <v>0</v>
          </cell>
        </row>
        <row r="4586">
          <cell r="A4586" t="str">
            <v>61300-31042-00</v>
          </cell>
          <cell r="F4586">
            <v>0</v>
          </cell>
        </row>
        <row r="4587">
          <cell r="A4587" t="str">
            <v>61300-31043-00</v>
          </cell>
          <cell r="F4587">
            <v>0</v>
          </cell>
        </row>
        <row r="4588">
          <cell r="A4588" t="str">
            <v>61300-31044-00</v>
          </cell>
          <cell r="F4588">
            <v>0</v>
          </cell>
        </row>
        <row r="4589">
          <cell r="A4589" t="str">
            <v>61300-31045-00</v>
          </cell>
          <cell r="F4589">
            <v>0</v>
          </cell>
        </row>
        <row r="4590">
          <cell r="A4590" t="str">
            <v>61300-31046-00</v>
          </cell>
          <cell r="F4590">
            <v>0</v>
          </cell>
        </row>
        <row r="4591">
          <cell r="A4591" t="str">
            <v>61300-31047-00</v>
          </cell>
          <cell r="F4591">
            <v>0</v>
          </cell>
        </row>
        <row r="4592">
          <cell r="A4592" t="str">
            <v>61300-31048-00</v>
          </cell>
          <cell r="F4592">
            <v>0</v>
          </cell>
        </row>
        <row r="4593">
          <cell r="A4593" t="str">
            <v>61300-31049-00</v>
          </cell>
          <cell r="F4593">
            <v>0</v>
          </cell>
        </row>
        <row r="4594">
          <cell r="A4594" t="str">
            <v>61300-31050-00</v>
          </cell>
          <cell r="F4594">
            <v>0</v>
          </cell>
        </row>
        <row r="4595">
          <cell r="A4595" t="str">
            <v>61300-31051-00</v>
          </cell>
          <cell r="F4595">
            <v>0</v>
          </cell>
        </row>
        <row r="4596">
          <cell r="A4596" t="str">
            <v>61300-31053-00</v>
          </cell>
          <cell r="F4596">
            <v>0</v>
          </cell>
        </row>
        <row r="4597">
          <cell r="A4597" t="str">
            <v>61300-31054-00</v>
          </cell>
          <cell r="F4597">
            <v>0</v>
          </cell>
        </row>
        <row r="4598">
          <cell r="A4598" t="str">
            <v>61300-31055-00</v>
          </cell>
          <cell r="F4598">
            <v>0</v>
          </cell>
        </row>
        <row r="4599">
          <cell r="A4599" t="str">
            <v>61300-31056-00</v>
          </cell>
          <cell r="F4599">
            <v>0</v>
          </cell>
        </row>
        <row r="4600">
          <cell r="A4600" t="str">
            <v>61300-31057-00</v>
          </cell>
          <cell r="F4600">
            <v>0</v>
          </cell>
        </row>
        <row r="4601">
          <cell r="A4601" t="str">
            <v>61300-31058-00</v>
          </cell>
          <cell r="F4601">
            <v>0</v>
          </cell>
        </row>
        <row r="4602">
          <cell r="A4602" t="str">
            <v>61300-31059-00</v>
          </cell>
          <cell r="F4602">
            <v>0</v>
          </cell>
        </row>
        <row r="4603">
          <cell r="A4603" t="str">
            <v>61300-31060-00</v>
          </cell>
          <cell r="F4603">
            <v>0</v>
          </cell>
        </row>
        <row r="4604">
          <cell r="A4604" t="str">
            <v>61300-31061-00</v>
          </cell>
          <cell r="F4604">
            <v>0</v>
          </cell>
        </row>
        <row r="4605">
          <cell r="A4605" t="str">
            <v>61300-31062-00</v>
          </cell>
          <cell r="F4605">
            <v>0</v>
          </cell>
        </row>
        <row r="4606">
          <cell r="A4606" t="str">
            <v>61300-31063-00</v>
          </cell>
          <cell r="F4606">
            <v>0</v>
          </cell>
        </row>
        <row r="4607">
          <cell r="A4607" t="str">
            <v>61300-31064-00</v>
          </cell>
          <cell r="F4607">
            <v>0</v>
          </cell>
        </row>
        <row r="4608">
          <cell r="A4608" t="str">
            <v>61300-31065-00</v>
          </cell>
          <cell r="F4608">
            <v>0</v>
          </cell>
        </row>
        <row r="4609">
          <cell r="A4609" t="str">
            <v>61300-31066-00</v>
          </cell>
          <cell r="F4609">
            <v>0</v>
          </cell>
        </row>
        <row r="4610">
          <cell r="A4610" t="str">
            <v>61300-31067-00</v>
          </cell>
          <cell r="F4610">
            <v>0</v>
          </cell>
        </row>
        <row r="4611">
          <cell r="A4611" t="str">
            <v>61300-31068-00</v>
          </cell>
          <cell r="F4611">
            <v>0</v>
          </cell>
        </row>
        <row r="4612">
          <cell r="A4612" t="str">
            <v>61300-31069-00</v>
          </cell>
          <cell r="F4612">
            <v>0</v>
          </cell>
        </row>
        <row r="4613">
          <cell r="A4613" t="str">
            <v>61300-31070-00</v>
          </cell>
          <cell r="F4613">
            <v>0</v>
          </cell>
        </row>
        <row r="4614">
          <cell r="A4614" t="str">
            <v>61300-31071-00</v>
          </cell>
          <cell r="F4614">
            <v>0</v>
          </cell>
        </row>
        <row r="4615">
          <cell r="A4615" t="str">
            <v>61300-31072-00</v>
          </cell>
          <cell r="F4615">
            <v>0</v>
          </cell>
        </row>
        <row r="4616">
          <cell r="A4616" t="str">
            <v>61300-31073-00</v>
          </cell>
          <cell r="F4616">
            <v>0</v>
          </cell>
        </row>
        <row r="4617">
          <cell r="A4617" t="str">
            <v>61300-31074-00</v>
          </cell>
          <cell r="F4617">
            <v>0</v>
          </cell>
        </row>
        <row r="4618">
          <cell r="A4618" t="str">
            <v>61300-31075-00</v>
          </cell>
          <cell r="F4618">
            <v>0</v>
          </cell>
        </row>
        <row r="4619">
          <cell r="A4619" t="str">
            <v>61300-31076-00</v>
          </cell>
          <cell r="F4619">
            <v>0</v>
          </cell>
        </row>
        <row r="4620">
          <cell r="A4620" t="str">
            <v>61300-31077-00</v>
          </cell>
          <cell r="F4620">
            <v>0</v>
          </cell>
        </row>
        <row r="4621">
          <cell r="A4621" t="str">
            <v>61300-31078-00</v>
          </cell>
          <cell r="F4621">
            <v>0</v>
          </cell>
        </row>
        <row r="4622">
          <cell r="A4622" t="str">
            <v>61300-31900-00</v>
          </cell>
          <cell r="F4622">
            <v>29915.46</v>
          </cell>
        </row>
        <row r="4623">
          <cell r="A4623" t="str">
            <v>61300-31910-00</v>
          </cell>
          <cell r="F4623">
            <v>15627.94</v>
          </cell>
        </row>
        <row r="4624">
          <cell r="A4624" t="str">
            <v>61350-00000-00</v>
          </cell>
          <cell r="F4624">
            <v>0</v>
          </cell>
        </row>
        <row r="4625">
          <cell r="A4625" t="str">
            <v>61350-11001-00</v>
          </cell>
          <cell r="F4625">
            <v>3134.85</v>
          </cell>
        </row>
        <row r="4626">
          <cell r="A4626" t="str">
            <v>61350-11005-00</v>
          </cell>
          <cell r="F4626">
            <v>0</v>
          </cell>
        </row>
        <row r="4627">
          <cell r="A4627" t="str">
            <v>61350-13006-00</v>
          </cell>
          <cell r="F4627">
            <v>0</v>
          </cell>
        </row>
        <row r="4628">
          <cell r="A4628" t="str">
            <v>61350-13007-00</v>
          </cell>
          <cell r="F4628">
            <v>0</v>
          </cell>
        </row>
        <row r="4629">
          <cell r="A4629" t="str">
            <v>61350-14001-00</v>
          </cell>
          <cell r="F4629">
            <v>0</v>
          </cell>
        </row>
        <row r="4630">
          <cell r="A4630" t="str">
            <v>61350-15001-00</v>
          </cell>
          <cell r="F4630">
            <v>0</v>
          </cell>
        </row>
        <row r="4631">
          <cell r="A4631" t="str">
            <v>61350-15005-00</v>
          </cell>
          <cell r="F4631">
            <v>0</v>
          </cell>
        </row>
        <row r="4632">
          <cell r="A4632" t="str">
            <v>61350-31000-00</v>
          </cell>
          <cell r="F4632">
            <v>0</v>
          </cell>
        </row>
        <row r="4633">
          <cell r="A4633" t="str">
            <v>61350-31001-00</v>
          </cell>
          <cell r="F4633">
            <v>365664.43</v>
          </cell>
        </row>
        <row r="4634">
          <cell r="A4634" t="str">
            <v>61350-41001-00</v>
          </cell>
          <cell r="F4634">
            <v>11510.47</v>
          </cell>
        </row>
        <row r="4635">
          <cell r="A4635" t="str">
            <v>61350-41002-00</v>
          </cell>
          <cell r="F4635">
            <v>3341.84</v>
          </cell>
        </row>
        <row r="4636">
          <cell r="A4636" t="str">
            <v>61350-41003-00</v>
          </cell>
          <cell r="F4636">
            <v>471.85</v>
          </cell>
        </row>
        <row r="4637">
          <cell r="A4637" t="str">
            <v>61350-41004-00</v>
          </cell>
          <cell r="F4637">
            <v>3176.2</v>
          </cell>
        </row>
        <row r="4638">
          <cell r="A4638" t="str">
            <v>61350-41005-00</v>
          </cell>
          <cell r="F4638">
            <v>407.4</v>
          </cell>
        </row>
        <row r="4639">
          <cell r="A4639" t="str">
            <v>61350-41009-00</v>
          </cell>
          <cell r="F4639">
            <v>0</v>
          </cell>
        </row>
        <row r="4640">
          <cell r="A4640" t="str">
            <v>61350-41029-00</v>
          </cell>
          <cell r="F4640">
            <v>0</v>
          </cell>
        </row>
        <row r="4641">
          <cell r="A4641" t="str">
            <v>61350-41030-00</v>
          </cell>
          <cell r="F4641">
            <v>0</v>
          </cell>
        </row>
        <row r="4642">
          <cell r="A4642" t="str">
            <v>61350-41031-00</v>
          </cell>
          <cell r="F4642">
            <v>3039</v>
          </cell>
        </row>
        <row r="4643">
          <cell r="A4643" t="str">
            <v>61350-41032-00</v>
          </cell>
          <cell r="F4643">
            <v>0</v>
          </cell>
        </row>
        <row r="4644">
          <cell r="A4644" t="str">
            <v>61350-41041-00</v>
          </cell>
          <cell r="F4644">
            <v>0</v>
          </cell>
        </row>
        <row r="4645">
          <cell r="A4645" t="str">
            <v>61350-41049-00</v>
          </cell>
          <cell r="F4645">
            <v>0</v>
          </cell>
        </row>
        <row r="4646">
          <cell r="A4646" t="str">
            <v>61350-41052-00</v>
          </cell>
          <cell r="F4646">
            <v>0</v>
          </cell>
        </row>
        <row r="4647">
          <cell r="A4647" t="str">
            <v>61350-43001-00</v>
          </cell>
          <cell r="F4647">
            <v>1808.54</v>
          </cell>
        </row>
        <row r="4648">
          <cell r="A4648" t="str">
            <v>61350-43002-00</v>
          </cell>
          <cell r="F4648">
            <v>0</v>
          </cell>
        </row>
        <row r="4649">
          <cell r="A4649" t="str">
            <v>61350-43003-00</v>
          </cell>
          <cell r="F4649">
            <v>0</v>
          </cell>
        </row>
        <row r="4650">
          <cell r="A4650" t="str">
            <v>61350-43005-00</v>
          </cell>
          <cell r="F4650">
            <v>0</v>
          </cell>
        </row>
        <row r="4651">
          <cell r="A4651" t="str">
            <v>61350-43009-00</v>
          </cell>
          <cell r="F4651">
            <v>0</v>
          </cell>
        </row>
        <row r="4652">
          <cell r="A4652" t="str">
            <v>61350-43029-00</v>
          </cell>
          <cell r="F4652">
            <v>0</v>
          </cell>
        </row>
        <row r="4653">
          <cell r="A4653" t="str">
            <v>61350-43030-00</v>
          </cell>
          <cell r="F4653">
            <v>0</v>
          </cell>
        </row>
        <row r="4654">
          <cell r="A4654" t="str">
            <v>61350-43031-00</v>
          </cell>
          <cell r="F4654">
            <v>0</v>
          </cell>
        </row>
        <row r="4655">
          <cell r="A4655" t="str">
            <v>61350-43032-00</v>
          </cell>
          <cell r="F4655">
            <v>0</v>
          </cell>
        </row>
        <row r="4656">
          <cell r="A4656" t="str">
            <v>61350-43041-00</v>
          </cell>
          <cell r="F4656">
            <v>0</v>
          </cell>
        </row>
        <row r="4657">
          <cell r="A4657" t="str">
            <v>61350-43052-00</v>
          </cell>
          <cell r="F4657">
            <v>0</v>
          </cell>
        </row>
        <row r="4658">
          <cell r="A4658" t="str">
            <v>61350-45001-00</v>
          </cell>
          <cell r="F4658">
            <v>0</v>
          </cell>
        </row>
        <row r="4659">
          <cell r="A4659" t="str">
            <v>61350-45002-00</v>
          </cell>
          <cell r="F4659">
            <v>455.4</v>
          </cell>
        </row>
        <row r="4660">
          <cell r="A4660" t="str">
            <v>61350-45003-00</v>
          </cell>
          <cell r="F4660">
            <v>0</v>
          </cell>
        </row>
        <row r="4661">
          <cell r="A4661" t="str">
            <v>61350-45005-00</v>
          </cell>
          <cell r="F4661">
            <v>0</v>
          </cell>
        </row>
        <row r="4662">
          <cell r="A4662" t="str">
            <v>61350-45009-00</v>
          </cell>
          <cell r="F4662">
            <v>0</v>
          </cell>
        </row>
        <row r="4663">
          <cell r="A4663" t="str">
            <v>61350-45029-00</v>
          </cell>
          <cell r="F4663">
            <v>0</v>
          </cell>
        </row>
        <row r="4664">
          <cell r="A4664" t="str">
            <v>61350-45030-00</v>
          </cell>
          <cell r="F4664">
            <v>0</v>
          </cell>
        </row>
        <row r="4665">
          <cell r="A4665" t="str">
            <v>61350-45031-00</v>
          </cell>
          <cell r="F4665">
            <v>0</v>
          </cell>
        </row>
        <row r="4666">
          <cell r="A4666" t="str">
            <v>61350-45032-00</v>
          </cell>
          <cell r="F4666">
            <v>0</v>
          </cell>
        </row>
        <row r="4667">
          <cell r="A4667" t="str">
            <v>61350-45052-00</v>
          </cell>
          <cell r="F4667">
            <v>0</v>
          </cell>
        </row>
        <row r="4668">
          <cell r="A4668" t="str">
            <v>61350-51001-00</v>
          </cell>
          <cell r="F4668">
            <v>150</v>
          </cell>
        </row>
        <row r="4669">
          <cell r="A4669" t="str">
            <v>61350-51005-00</v>
          </cell>
          <cell r="F4669">
            <v>0</v>
          </cell>
        </row>
        <row r="4670">
          <cell r="A4670" t="str">
            <v>61350-53001-00</v>
          </cell>
          <cell r="F4670">
            <v>0</v>
          </cell>
        </row>
        <row r="4671">
          <cell r="A4671" t="str">
            <v>61350-61030-00</v>
          </cell>
          <cell r="F4671">
            <v>0</v>
          </cell>
        </row>
        <row r="4672">
          <cell r="A4672" t="str">
            <v>61350-61031-00</v>
          </cell>
          <cell r="F4672">
            <v>0</v>
          </cell>
        </row>
        <row r="4673">
          <cell r="A4673" t="str">
            <v>61350-62030-00</v>
          </cell>
          <cell r="F4673">
            <v>0</v>
          </cell>
        </row>
        <row r="4674">
          <cell r="A4674" t="str">
            <v>61350-62032-00</v>
          </cell>
          <cell r="F4674">
            <v>0</v>
          </cell>
        </row>
        <row r="4675">
          <cell r="A4675" t="str">
            <v>61350-63030-00</v>
          </cell>
          <cell r="F4675">
            <v>280.08999999999997</v>
          </cell>
        </row>
        <row r="4676">
          <cell r="A4676" t="str">
            <v>61350-63032-00</v>
          </cell>
          <cell r="F4676">
            <v>0</v>
          </cell>
        </row>
        <row r="4677">
          <cell r="A4677" t="str">
            <v>61350-64032-00</v>
          </cell>
          <cell r="F4677">
            <v>2167.15</v>
          </cell>
        </row>
        <row r="4678">
          <cell r="A4678" t="str">
            <v>61350-83001-00</v>
          </cell>
          <cell r="F4678">
            <v>92588.4</v>
          </cell>
        </row>
        <row r="4679">
          <cell r="A4679" t="str">
            <v>61400-00000-00</v>
          </cell>
          <cell r="F4679">
            <v>0</v>
          </cell>
        </row>
        <row r="4680">
          <cell r="A4680" t="str">
            <v>61400-11001-00</v>
          </cell>
          <cell r="F4680">
            <v>0</v>
          </cell>
        </row>
        <row r="4681">
          <cell r="A4681" t="str">
            <v>61400-11005-00</v>
          </cell>
          <cell r="F4681">
            <v>0</v>
          </cell>
        </row>
        <row r="4682">
          <cell r="A4682" t="str">
            <v>61400-13006-00</v>
          </cell>
          <cell r="F4682">
            <v>0</v>
          </cell>
        </row>
        <row r="4683">
          <cell r="A4683" t="str">
            <v>61400-13007-00</v>
          </cell>
          <cell r="F4683">
            <v>0</v>
          </cell>
        </row>
        <row r="4684">
          <cell r="A4684" t="str">
            <v>61400-14001-00</v>
          </cell>
          <cell r="F4684">
            <v>0</v>
          </cell>
        </row>
        <row r="4685">
          <cell r="A4685" t="str">
            <v>61400-15001-00</v>
          </cell>
          <cell r="F4685">
            <v>0</v>
          </cell>
        </row>
        <row r="4686">
          <cell r="A4686" t="str">
            <v>61400-15005-00</v>
          </cell>
          <cell r="F4686">
            <v>0</v>
          </cell>
        </row>
        <row r="4687">
          <cell r="A4687" t="str">
            <v>61400-31000-00</v>
          </cell>
          <cell r="F4687">
            <v>0</v>
          </cell>
        </row>
        <row r="4688">
          <cell r="A4688" t="str">
            <v>61400-31001-00</v>
          </cell>
          <cell r="F4688">
            <v>-3084.64</v>
          </cell>
        </row>
        <row r="4689">
          <cell r="A4689" t="str">
            <v>61400-41001-00</v>
          </cell>
          <cell r="F4689">
            <v>-7655.72</v>
          </cell>
        </row>
        <row r="4690">
          <cell r="A4690" t="str">
            <v>61400-41002-00</v>
          </cell>
          <cell r="F4690">
            <v>-255.67</v>
          </cell>
        </row>
        <row r="4691">
          <cell r="A4691" t="str">
            <v>61400-41003-00</v>
          </cell>
          <cell r="F4691">
            <v>-356.27</v>
          </cell>
        </row>
        <row r="4692">
          <cell r="A4692" t="str">
            <v>61400-41004-00</v>
          </cell>
          <cell r="F4692">
            <v>-900.04</v>
          </cell>
        </row>
        <row r="4693">
          <cell r="A4693" t="str">
            <v>61400-41005-00</v>
          </cell>
          <cell r="F4693">
            <v>0</v>
          </cell>
        </row>
        <row r="4694">
          <cell r="A4694" t="str">
            <v>61400-41009-00</v>
          </cell>
          <cell r="F4694">
            <v>0</v>
          </cell>
        </row>
        <row r="4695">
          <cell r="A4695" t="str">
            <v>61400-41029-00</v>
          </cell>
          <cell r="F4695">
            <v>-328.1</v>
          </cell>
        </row>
        <row r="4696">
          <cell r="A4696" t="str">
            <v>61400-41030-00</v>
          </cell>
          <cell r="F4696">
            <v>-771</v>
          </cell>
        </row>
        <row r="4697">
          <cell r="A4697" t="str">
            <v>61400-41031-00</v>
          </cell>
          <cell r="F4697">
            <v>-265.93</v>
          </cell>
        </row>
        <row r="4698">
          <cell r="A4698" t="str">
            <v>61400-41032-00</v>
          </cell>
          <cell r="F4698">
            <v>0</v>
          </cell>
        </row>
        <row r="4699">
          <cell r="A4699" t="str">
            <v>61400-41041-00</v>
          </cell>
          <cell r="F4699">
            <v>0</v>
          </cell>
        </row>
        <row r="4700">
          <cell r="A4700" t="str">
            <v>61400-41049-00</v>
          </cell>
          <cell r="F4700">
            <v>0</v>
          </cell>
        </row>
        <row r="4701">
          <cell r="A4701" t="str">
            <v>61400-41052-00</v>
          </cell>
          <cell r="F4701">
            <v>0</v>
          </cell>
        </row>
        <row r="4702">
          <cell r="A4702" t="str">
            <v>61400-43001-00</v>
          </cell>
          <cell r="F4702">
            <v>-180.6</v>
          </cell>
        </row>
        <row r="4703">
          <cell r="A4703" t="str">
            <v>61400-43002-00</v>
          </cell>
          <cell r="F4703">
            <v>0</v>
          </cell>
        </row>
        <row r="4704">
          <cell r="A4704" t="str">
            <v>61400-43003-00</v>
          </cell>
          <cell r="F4704">
            <v>0</v>
          </cell>
        </row>
        <row r="4705">
          <cell r="A4705" t="str">
            <v>61400-43005-00</v>
          </cell>
          <cell r="F4705">
            <v>0</v>
          </cell>
        </row>
        <row r="4706">
          <cell r="A4706" t="str">
            <v>61400-43009-00</v>
          </cell>
          <cell r="F4706">
            <v>0</v>
          </cell>
        </row>
        <row r="4707">
          <cell r="A4707" t="str">
            <v>61400-43029-00</v>
          </cell>
          <cell r="F4707">
            <v>-519.07000000000005</v>
          </cell>
        </row>
        <row r="4708">
          <cell r="A4708" t="str">
            <v>61400-43030-00</v>
          </cell>
          <cell r="F4708">
            <v>-5447.92</v>
          </cell>
        </row>
        <row r="4709">
          <cell r="A4709" t="str">
            <v>61400-43031-00</v>
          </cell>
          <cell r="F4709">
            <v>-1168.08</v>
          </cell>
        </row>
        <row r="4710">
          <cell r="A4710" t="str">
            <v>61400-43032-00</v>
          </cell>
          <cell r="F4710">
            <v>0</v>
          </cell>
        </row>
        <row r="4711">
          <cell r="A4711" t="str">
            <v>61400-43041-00</v>
          </cell>
          <cell r="F4711">
            <v>0</v>
          </cell>
        </row>
        <row r="4712">
          <cell r="A4712" t="str">
            <v>61400-43052-00</v>
          </cell>
          <cell r="F4712">
            <v>0</v>
          </cell>
        </row>
        <row r="4713">
          <cell r="A4713" t="str">
            <v>61400-45001-00</v>
          </cell>
          <cell r="F4713">
            <v>0</v>
          </cell>
        </row>
        <row r="4714">
          <cell r="A4714" t="str">
            <v>61400-45002-00</v>
          </cell>
          <cell r="F4714">
            <v>0</v>
          </cell>
        </row>
        <row r="4715">
          <cell r="A4715" t="str">
            <v>61400-45003-00</v>
          </cell>
          <cell r="F4715">
            <v>0</v>
          </cell>
        </row>
        <row r="4716">
          <cell r="A4716" t="str">
            <v>61400-45005-00</v>
          </cell>
          <cell r="F4716">
            <v>0</v>
          </cell>
        </row>
        <row r="4717">
          <cell r="A4717" t="str">
            <v>61400-45009-00</v>
          </cell>
          <cell r="F4717">
            <v>0</v>
          </cell>
        </row>
        <row r="4718">
          <cell r="A4718" t="str">
            <v>61400-45029-00</v>
          </cell>
          <cell r="F4718">
            <v>0</v>
          </cell>
        </row>
        <row r="4719">
          <cell r="A4719" t="str">
            <v>61400-45030-00</v>
          </cell>
          <cell r="F4719">
            <v>0</v>
          </cell>
        </row>
        <row r="4720">
          <cell r="A4720" t="str">
            <v>61400-45031-00</v>
          </cell>
          <cell r="F4720">
            <v>0</v>
          </cell>
        </row>
        <row r="4721">
          <cell r="A4721" t="str">
            <v>61400-45032-00</v>
          </cell>
          <cell r="F4721">
            <v>0</v>
          </cell>
        </row>
        <row r="4722">
          <cell r="A4722" t="str">
            <v>61400-45052-00</v>
          </cell>
          <cell r="F4722">
            <v>0</v>
          </cell>
        </row>
        <row r="4723">
          <cell r="A4723" t="str">
            <v>61400-51001-00</v>
          </cell>
          <cell r="F4723">
            <v>0</v>
          </cell>
        </row>
        <row r="4724">
          <cell r="A4724" t="str">
            <v>61400-51005-00</v>
          </cell>
          <cell r="F4724">
            <v>0</v>
          </cell>
        </row>
        <row r="4725">
          <cell r="A4725" t="str">
            <v>61400-53001-00</v>
          </cell>
          <cell r="F4725">
            <v>0</v>
          </cell>
        </row>
        <row r="4726">
          <cell r="A4726" t="str">
            <v>61400-61030-00</v>
          </cell>
          <cell r="F4726">
            <v>0</v>
          </cell>
        </row>
        <row r="4727">
          <cell r="A4727" t="str">
            <v>61400-61031-00</v>
          </cell>
          <cell r="F4727">
            <v>0</v>
          </cell>
        </row>
        <row r="4728">
          <cell r="A4728" t="str">
            <v>61400-62030-00</v>
          </cell>
          <cell r="F4728">
            <v>0</v>
          </cell>
        </row>
        <row r="4729">
          <cell r="A4729" t="str">
            <v>61400-62032-00</v>
          </cell>
          <cell r="F4729">
            <v>0</v>
          </cell>
        </row>
        <row r="4730">
          <cell r="A4730" t="str">
            <v>61400-63030-00</v>
          </cell>
          <cell r="F4730">
            <v>-66.66</v>
          </cell>
        </row>
        <row r="4731">
          <cell r="A4731" t="str">
            <v>61400-63032-00</v>
          </cell>
          <cell r="F4731">
            <v>0</v>
          </cell>
        </row>
        <row r="4732">
          <cell r="A4732" t="str">
            <v>61400-64032-00</v>
          </cell>
          <cell r="F4732">
            <v>0</v>
          </cell>
        </row>
        <row r="4733">
          <cell r="A4733" t="str">
            <v>61400-83001-00</v>
          </cell>
          <cell r="F4733">
            <v>-55.89</v>
          </cell>
        </row>
        <row r="4734">
          <cell r="A4734" t="str">
            <v>61400-84001-00</v>
          </cell>
          <cell r="F4734">
            <v>0</v>
          </cell>
        </row>
        <row r="4735">
          <cell r="A4735" t="str">
            <v>61450-00000-00</v>
          </cell>
          <cell r="F4735">
            <v>0</v>
          </cell>
        </row>
        <row r="4736">
          <cell r="A4736" t="str">
            <v>61450-11001-00</v>
          </cell>
          <cell r="F4736">
            <v>0</v>
          </cell>
        </row>
        <row r="4737">
          <cell r="A4737" t="str">
            <v>61450-11005-00</v>
          </cell>
          <cell r="F4737">
            <v>0</v>
          </cell>
        </row>
        <row r="4738">
          <cell r="A4738" t="str">
            <v>61450-15001-00</v>
          </cell>
          <cell r="F4738">
            <v>0</v>
          </cell>
        </row>
        <row r="4739">
          <cell r="A4739" t="str">
            <v>61450-15005-00</v>
          </cell>
          <cell r="F4739">
            <v>0</v>
          </cell>
        </row>
        <row r="4740">
          <cell r="A4740" t="str">
            <v>61450-41001-00</v>
          </cell>
          <cell r="F4740">
            <v>0</v>
          </cell>
        </row>
        <row r="4741">
          <cell r="A4741" t="str">
            <v>61450-41002-00</v>
          </cell>
          <cell r="F4741">
            <v>0</v>
          </cell>
        </row>
        <row r="4742">
          <cell r="A4742" t="str">
            <v>61450-41003-00</v>
          </cell>
          <cell r="F4742">
            <v>0</v>
          </cell>
        </row>
        <row r="4743">
          <cell r="A4743" t="str">
            <v>61450-41004-00</v>
          </cell>
          <cell r="F4743">
            <v>0</v>
          </cell>
        </row>
        <row r="4744">
          <cell r="A4744" t="str">
            <v>61450-41005-00</v>
          </cell>
          <cell r="F4744">
            <v>0</v>
          </cell>
        </row>
        <row r="4745">
          <cell r="A4745" t="str">
            <v>61450-41009-00</v>
          </cell>
          <cell r="F4745">
            <v>0</v>
          </cell>
        </row>
        <row r="4746">
          <cell r="A4746" t="str">
            <v>61450-41029-00</v>
          </cell>
          <cell r="F4746">
            <v>0</v>
          </cell>
        </row>
        <row r="4747">
          <cell r="A4747" t="str">
            <v>61450-41030-00</v>
          </cell>
          <cell r="F4747">
            <v>0</v>
          </cell>
        </row>
        <row r="4748">
          <cell r="A4748" t="str">
            <v>61450-41031-00</v>
          </cell>
          <cell r="F4748">
            <v>0</v>
          </cell>
        </row>
        <row r="4749">
          <cell r="A4749" t="str">
            <v>61450-41032-00</v>
          </cell>
          <cell r="F4749">
            <v>0</v>
          </cell>
        </row>
        <row r="4750">
          <cell r="A4750" t="str">
            <v>61450-41041-00</v>
          </cell>
          <cell r="F4750">
            <v>0</v>
          </cell>
        </row>
        <row r="4751">
          <cell r="A4751" t="str">
            <v>61450-41049-00</v>
          </cell>
          <cell r="F4751">
            <v>0</v>
          </cell>
        </row>
        <row r="4752">
          <cell r="A4752" t="str">
            <v>61450-41052-00</v>
          </cell>
          <cell r="F4752">
            <v>0</v>
          </cell>
        </row>
        <row r="4753">
          <cell r="A4753" t="str">
            <v>61450-43001-00</v>
          </cell>
          <cell r="F4753">
            <v>0</v>
          </cell>
        </row>
        <row r="4754">
          <cell r="A4754" t="str">
            <v>61450-43002-00</v>
          </cell>
          <cell r="F4754">
            <v>0</v>
          </cell>
        </row>
        <row r="4755">
          <cell r="A4755" t="str">
            <v>61450-43003-00</v>
          </cell>
          <cell r="F4755">
            <v>0</v>
          </cell>
        </row>
        <row r="4756">
          <cell r="A4756" t="str">
            <v>61450-43005-00</v>
          </cell>
          <cell r="F4756">
            <v>0</v>
          </cell>
        </row>
        <row r="4757">
          <cell r="A4757" t="str">
            <v>61450-43009-00</v>
          </cell>
          <cell r="F4757">
            <v>0</v>
          </cell>
        </row>
        <row r="4758">
          <cell r="A4758" t="str">
            <v>61450-43029-00</v>
          </cell>
          <cell r="F4758">
            <v>0</v>
          </cell>
        </row>
        <row r="4759">
          <cell r="A4759" t="str">
            <v>61450-43030-00</v>
          </cell>
          <cell r="F4759">
            <v>0</v>
          </cell>
        </row>
        <row r="4760">
          <cell r="A4760" t="str">
            <v>61450-43031-00</v>
          </cell>
          <cell r="F4760">
            <v>0</v>
          </cell>
        </row>
        <row r="4761">
          <cell r="A4761" t="str">
            <v>61450-43032-00</v>
          </cell>
          <cell r="F4761">
            <v>0</v>
          </cell>
        </row>
        <row r="4762">
          <cell r="A4762" t="str">
            <v>61450-43041-00</v>
          </cell>
          <cell r="F4762">
            <v>0</v>
          </cell>
        </row>
        <row r="4763">
          <cell r="A4763" t="str">
            <v>61450-43052-00</v>
          </cell>
          <cell r="F4763">
            <v>0</v>
          </cell>
        </row>
        <row r="4764">
          <cell r="A4764" t="str">
            <v>61450-45001-00</v>
          </cell>
          <cell r="F4764">
            <v>25</v>
          </cell>
        </row>
        <row r="4765">
          <cell r="A4765" t="str">
            <v>61450-45002-00</v>
          </cell>
          <cell r="F4765">
            <v>0</v>
          </cell>
        </row>
        <row r="4766">
          <cell r="A4766" t="str">
            <v>61450-45003-00</v>
          </cell>
          <cell r="F4766">
            <v>0</v>
          </cell>
        </row>
        <row r="4767">
          <cell r="A4767" t="str">
            <v>61450-45005-00</v>
          </cell>
          <cell r="F4767">
            <v>0</v>
          </cell>
        </row>
        <row r="4768">
          <cell r="A4768" t="str">
            <v>61450-45009-00</v>
          </cell>
          <cell r="F4768">
            <v>0</v>
          </cell>
        </row>
        <row r="4769">
          <cell r="A4769" t="str">
            <v>61450-45029-00</v>
          </cell>
          <cell r="F4769">
            <v>0</v>
          </cell>
        </row>
        <row r="4770">
          <cell r="A4770" t="str">
            <v>61450-45030-00</v>
          </cell>
          <cell r="F4770">
            <v>0</v>
          </cell>
        </row>
        <row r="4771">
          <cell r="A4771" t="str">
            <v>61450-45031-00</v>
          </cell>
          <cell r="F4771">
            <v>0</v>
          </cell>
        </row>
        <row r="4772">
          <cell r="A4772" t="str">
            <v>61450-45032-00</v>
          </cell>
          <cell r="F4772">
            <v>0</v>
          </cell>
        </row>
        <row r="4773">
          <cell r="A4773" t="str">
            <v>61450-45052-00</v>
          </cell>
          <cell r="F4773">
            <v>0</v>
          </cell>
        </row>
        <row r="4774">
          <cell r="A4774" t="str">
            <v>61450-51001-00</v>
          </cell>
          <cell r="F4774">
            <v>6000</v>
          </cell>
        </row>
        <row r="4775">
          <cell r="A4775" t="str">
            <v>61450-51005-00</v>
          </cell>
          <cell r="F4775">
            <v>0</v>
          </cell>
        </row>
        <row r="4776">
          <cell r="A4776" t="str">
            <v>61450-61030-00</v>
          </cell>
          <cell r="F4776">
            <v>0</v>
          </cell>
        </row>
        <row r="4777">
          <cell r="A4777" t="str">
            <v>61450-61031-00</v>
          </cell>
          <cell r="F4777">
            <v>0</v>
          </cell>
        </row>
        <row r="4778">
          <cell r="A4778" t="str">
            <v>61450-62030-00</v>
          </cell>
          <cell r="F4778">
            <v>0</v>
          </cell>
        </row>
        <row r="4779">
          <cell r="A4779" t="str">
            <v>61450-62032-00</v>
          </cell>
          <cell r="F4779">
            <v>0</v>
          </cell>
        </row>
        <row r="4780">
          <cell r="A4780" t="str">
            <v>61450-63030-00</v>
          </cell>
          <cell r="F4780">
            <v>0</v>
          </cell>
        </row>
        <row r="4781">
          <cell r="A4781" t="str">
            <v>61450-63032-00</v>
          </cell>
          <cell r="F4781">
            <v>100</v>
          </cell>
        </row>
        <row r="4782">
          <cell r="A4782" t="str">
            <v>61450-64032-00</v>
          </cell>
          <cell r="F4782">
            <v>0</v>
          </cell>
        </row>
        <row r="4783">
          <cell r="A4783" t="str">
            <v>61450-81001-00</v>
          </cell>
          <cell r="F4783">
            <v>0</v>
          </cell>
        </row>
        <row r="4784">
          <cell r="A4784" t="str">
            <v>61450-81005-00</v>
          </cell>
          <cell r="F4784">
            <v>0</v>
          </cell>
        </row>
        <row r="4785">
          <cell r="A4785" t="str">
            <v>61450-83001-00</v>
          </cell>
          <cell r="F4785">
            <v>260</v>
          </cell>
        </row>
        <row r="4786">
          <cell r="A4786" t="str">
            <v>61450-84001-00</v>
          </cell>
          <cell r="F4786">
            <v>0</v>
          </cell>
        </row>
        <row r="4787">
          <cell r="A4787" t="str">
            <v>61450-85001-00</v>
          </cell>
          <cell r="F4787">
            <v>0</v>
          </cell>
        </row>
        <row r="4788">
          <cell r="A4788" t="str">
            <v>61500-00000-00</v>
          </cell>
          <cell r="F4788">
            <v>0</v>
          </cell>
        </row>
        <row r="4789">
          <cell r="A4789" t="str">
            <v>61500-11001-00</v>
          </cell>
          <cell r="F4789">
            <v>323.49</v>
          </cell>
        </row>
        <row r="4790">
          <cell r="A4790" t="str">
            <v>61500-11005-00</v>
          </cell>
          <cell r="F4790">
            <v>0</v>
          </cell>
        </row>
        <row r="4791">
          <cell r="A4791" t="str">
            <v>61500-15001-00</v>
          </cell>
          <cell r="F4791">
            <v>3033.46</v>
          </cell>
        </row>
        <row r="4792">
          <cell r="A4792" t="str">
            <v>61500-15005-00</v>
          </cell>
          <cell r="F4792">
            <v>0</v>
          </cell>
        </row>
        <row r="4793">
          <cell r="A4793" t="str">
            <v>61500-31001-00</v>
          </cell>
          <cell r="F4793">
            <v>6189.35</v>
          </cell>
        </row>
        <row r="4794">
          <cell r="A4794" t="str">
            <v>61500-41001-00</v>
          </cell>
          <cell r="F4794">
            <v>96602.32</v>
          </cell>
        </row>
        <row r="4795">
          <cell r="A4795" t="str">
            <v>61500-41002-00</v>
          </cell>
          <cell r="F4795">
            <v>60841.86</v>
          </cell>
        </row>
        <row r="4796">
          <cell r="A4796" t="str">
            <v>61500-41003-00</v>
          </cell>
          <cell r="F4796">
            <v>80567.83</v>
          </cell>
        </row>
        <row r="4797">
          <cell r="A4797" t="str">
            <v>61500-41004-00</v>
          </cell>
          <cell r="F4797">
            <v>39617.5</v>
          </cell>
        </row>
        <row r="4798">
          <cell r="A4798" t="str">
            <v>61500-41005-00</v>
          </cell>
          <cell r="F4798">
            <v>17971.43</v>
          </cell>
        </row>
        <row r="4799">
          <cell r="A4799" t="str">
            <v>61500-41009-00</v>
          </cell>
          <cell r="F4799">
            <v>19785.21</v>
          </cell>
        </row>
        <row r="4800">
          <cell r="A4800" t="str">
            <v>61500-41029-00</v>
          </cell>
          <cell r="F4800">
            <v>16985.169999999998</v>
          </cell>
        </row>
        <row r="4801">
          <cell r="A4801" t="str">
            <v>61500-41030-00</v>
          </cell>
          <cell r="F4801">
            <v>12099.5</v>
          </cell>
        </row>
        <row r="4802">
          <cell r="A4802" t="str">
            <v>61500-41031-00</v>
          </cell>
          <cell r="F4802">
            <v>28854.59</v>
          </cell>
        </row>
        <row r="4803">
          <cell r="A4803" t="str">
            <v>61500-41032-00</v>
          </cell>
          <cell r="F4803">
            <v>13193.11</v>
          </cell>
        </row>
        <row r="4804">
          <cell r="A4804" t="str">
            <v>61500-41041-00</v>
          </cell>
          <cell r="F4804">
            <v>5642.33</v>
          </cell>
        </row>
        <row r="4805">
          <cell r="A4805" t="str">
            <v>61500-41049-00</v>
          </cell>
          <cell r="F4805">
            <v>716.15</v>
          </cell>
        </row>
        <row r="4806">
          <cell r="A4806" t="str">
            <v>61500-41052-00</v>
          </cell>
          <cell r="F4806">
            <v>0</v>
          </cell>
        </row>
        <row r="4807">
          <cell r="A4807" t="str">
            <v>61500-43001-00</v>
          </cell>
          <cell r="F4807">
            <v>34939.74</v>
          </cell>
        </row>
        <row r="4808">
          <cell r="A4808" t="str">
            <v>61500-43002-00</v>
          </cell>
          <cell r="F4808">
            <v>11050.09</v>
          </cell>
        </row>
        <row r="4809">
          <cell r="A4809" t="str">
            <v>61500-43003-00</v>
          </cell>
          <cell r="F4809">
            <v>16805.759999999998</v>
          </cell>
        </row>
        <row r="4810">
          <cell r="A4810" t="str">
            <v>61500-43005-00</v>
          </cell>
          <cell r="F4810">
            <v>26584.94</v>
          </cell>
        </row>
        <row r="4811">
          <cell r="A4811" t="str">
            <v>61500-43009-00</v>
          </cell>
          <cell r="F4811">
            <v>17845.060000000001</v>
          </cell>
        </row>
        <row r="4812">
          <cell r="A4812" t="str">
            <v>61500-43029-00</v>
          </cell>
          <cell r="F4812">
            <v>4752.3100000000004</v>
          </cell>
        </row>
        <row r="4813">
          <cell r="A4813" t="str">
            <v>61500-43030-00</v>
          </cell>
          <cell r="F4813">
            <v>39927.07</v>
          </cell>
        </row>
        <row r="4814">
          <cell r="A4814" t="str">
            <v>61500-43031-00</v>
          </cell>
          <cell r="F4814">
            <v>6748.31</v>
          </cell>
        </row>
        <row r="4815">
          <cell r="A4815" t="str">
            <v>61500-43032-00</v>
          </cell>
          <cell r="F4815">
            <v>5018.7700000000004</v>
          </cell>
        </row>
        <row r="4816">
          <cell r="A4816" t="str">
            <v>61500-43041-00</v>
          </cell>
          <cell r="F4816">
            <v>12797.23</v>
          </cell>
        </row>
        <row r="4817">
          <cell r="A4817" t="str">
            <v>61500-43052-00</v>
          </cell>
          <cell r="F4817">
            <v>0</v>
          </cell>
        </row>
        <row r="4818">
          <cell r="A4818" t="str">
            <v>61500-45001-00</v>
          </cell>
          <cell r="F4818">
            <v>15501.72</v>
          </cell>
        </row>
        <row r="4819">
          <cell r="A4819" t="str">
            <v>61500-45002-00</v>
          </cell>
          <cell r="F4819">
            <v>112639.52</v>
          </cell>
        </row>
        <row r="4820">
          <cell r="A4820" t="str">
            <v>61500-45003-00</v>
          </cell>
          <cell r="F4820">
            <v>679.28</v>
          </cell>
        </row>
        <row r="4821">
          <cell r="A4821" t="str">
            <v>61500-45005-00</v>
          </cell>
          <cell r="F4821">
            <v>5686.76</v>
          </cell>
        </row>
        <row r="4822">
          <cell r="A4822" t="str">
            <v>61500-45009-00</v>
          </cell>
          <cell r="F4822">
            <v>0</v>
          </cell>
        </row>
        <row r="4823">
          <cell r="A4823" t="str">
            <v>61500-45029-00</v>
          </cell>
          <cell r="F4823">
            <v>15633.06</v>
          </cell>
        </row>
        <row r="4824">
          <cell r="A4824" t="str">
            <v>61500-45030-00</v>
          </cell>
          <cell r="F4824">
            <v>8921.2800000000007</v>
          </cell>
        </row>
        <row r="4825">
          <cell r="A4825" t="str">
            <v>61500-45031-00</v>
          </cell>
          <cell r="F4825">
            <v>5065.1499999999996</v>
          </cell>
        </row>
        <row r="4826">
          <cell r="A4826" t="str">
            <v>61500-45032-00</v>
          </cell>
          <cell r="F4826">
            <v>290.73</v>
          </cell>
        </row>
        <row r="4827">
          <cell r="A4827" t="str">
            <v>61500-45052-00</v>
          </cell>
          <cell r="F4827">
            <v>0</v>
          </cell>
        </row>
        <row r="4828">
          <cell r="A4828" t="str">
            <v>61500-51001-00</v>
          </cell>
          <cell r="F4828">
            <v>2957127.53</v>
          </cell>
        </row>
        <row r="4829">
          <cell r="A4829" t="str">
            <v>61500-51005-00</v>
          </cell>
          <cell r="F4829">
            <v>0</v>
          </cell>
        </row>
        <row r="4830">
          <cell r="A4830" t="str">
            <v>61500-53001-00</v>
          </cell>
          <cell r="F4830">
            <v>0</v>
          </cell>
        </row>
        <row r="4831">
          <cell r="A4831" t="str">
            <v>61500-61030-00</v>
          </cell>
          <cell r="F4831">
            <v>2063.0500000000002</v>
          </cell>
        </row>
        <row r="4832">
          <cell r="A4832" t="str">
            <v>61500-61031-00</v>
          </cell>
          <cell r="F4832">
            <v>163.49</v>
          </cell>
        </row>
        <row r="4833">
          <cell r="A4833" t="str">
            <v>61500-62030-00</v>
          </cell>
          <cell r="F4833">
            <v>16112.94</v>
          </cell>
        </row>
        <row r="4834">
          <cell r="A4834" t="str">
            <v>61500-62032-00</v>
          </cell>
          <cell r="F4834">
            <v>2395.54</v>
          </cell>
        </row>
        <row r="4835">
          <cell r="A4835" t="str">
            <v>61500-63030-00</v>
          </cell>
          <cell r="F4835">
            <v>0</v>
          </cell>
        </row>
        <row r="4836">
          <cell r="A4836" t="str">
            <v>61500-63032-00</v>
          </cell>
          <cell r="F4836">
            <v>51.7</v>
          </cell>
        </row>
        <row r="4837">
          <cell r="A4837" t="str">
            <v>61500-64032-00</v>
          </cell>
          <cell r="F4837">
            <v>46.98</v>
          </cell>
        </row>
        <row r="4838">
          <cell r="A4838" t="str">
            <v>61510-51001-00</v>
          </cell>
          <cell r="F4838">
            <v>6432.13</v>
          </cell>
        </row>
        <row r="4839">
          <cell r="A4839" t="str">
            <v>61550-00000-00</v>
          </cell>
          <cell r="F4839">
            <v>0</v>
          </cell>
        </row>
        <row r="4840">
          <cell r="A4840" t="str">
            <v>61550-11001-00</v>
          </cell>
          <cell r="F4840">
            <v>7021.06</v>
          </cell>
        </row>
        <row r="4841">
          <cell r="A4841" t="str">
            <v>61550-11005-00</v>
          </cell>
          <cell r="F4841">
            <v>0</v>
          </cell>
        </row>
        <row r="4842">
          <cell r="A4842" t="str">
            <v>61550-14001-00</v>
          </cell>
          <cell r="F4842">
            <v>12894.71</v>
          </cell>
        </row>
        <row r="4843">
          <cell r="A4843" t="str">
            <v>61550-15001-00</v>
          </cell>
          <cell r="F4843">
            <v>39594.120000000003</v>
          </cell>
        </row>
        <row r="4844">
          <cell r="A4844" t="str">
            <v>61550-15005-00</v>
          </cell>
          <cell r="F4844">
            <v>0</v>
          </cell>
        </row>
        <row r="4845">
          <cell r="A4845" t="str">
            <v>61550-31001-00</v>
          </cell>
          <cell r="F4845">
            <v>2282.5300000000002</v>
          </cell>
        </row>
        <row r="4846">
          <cell r="A4846" t="str">
            <v>61550-41001-00</v>
          </cell>
          <cell r="F4846">
            <v>159992.21</v>
          </cell>
        </row>
        <row r="4847">
          <cell r="A4847" t="str">
            <v>61550-41002-00</v>
          </cell>
          <cell r="F4847">
            <v>65544.759999999995</v>
          </cell>
        </row>
        <row r="4848">
          <cell r="A4848" t="str">
            <v>61550-41003-00</v>
          </cell>
          <cell r="F4848">
            <v>143480.79999999999</v>
          </cell>
        </row>
        <row r="4849">
          <cell r="A4849" t="str">
            <v>61550-41004-00</v>
          </cell>
          <cell r="F4849">
            <v>54083.54</v>
          </cell>
        </row>
        <row r="4850">
          <cell r="A4850" t="str">
            <v>61550-41005-00</v>
          </cell>
          <cell r="F4850">
            <v>48502.82</v>
          </cell>
        </row>
        <row r="4851">
          <cell r="A4851" t="str">
            <v>61550-41009-00</v>
          </cell>
          <cell r="F4851">
            <v>47595.89</v>
          </cell>
        </row>
        <row r="4852">
          <cell r="A4852" t="str">
            <v>61550-41029-00</v>
          </cell>
          <cell r="F4852">
            <v>11434.64</v>
          </cell>
        </row>
        <row r="4853">
          <cell r="A4853" t="str">
            <v>61550-41030-00</v>
          </cell>
          <cell r="F4853">
            <v>20081.36</v>
          </cell>
        </row>
        <row r="4854">
          <cell r="A4854" t="str">
            <v>61550-41031-00</v>
          </cell>
          <cell r="F4854">
            <v>11821.21</v>
          </cell>
        </row>
        <row r="4855">
          <cell r="A4855" t="str">
            <v>61550-41032-00</v>
          </cell>
          <cell r="F4855">
            <v>6609.38</v>
          </cell>
        </row>
        <row r="4856">
          <cell r="A4856" t="str">
            <v>61550-41041-00</v>
          </cell>
          <cell r="F4856">
            <v>7856.05</v>
          </cell>
        </row>
        <row r="4857">
          <cell r="A4857" t="str">
            <v>61550-41049-00</v>
          </cell>
          <cell r="F4857">
            <v>2624</v>
          </cell>
        </row>
        <row r="4858">
          <cell r="A4858" t="str">
            <v>61550-41052-00</v>
          </cell>
          <cell r="F4858">
            <v>0</v>
          </cell>
        </row>
        <row r="4859">
          <cell r="A4859" t="str">
            <v>61550-43001-00</v>
          </cell>
          <cell r="F4859">
            <v>31293.87</v>
          </cell>
        </row>
        <row r="4860">
          <cell r="A4860" t="str">
            <v>61550-43002-00</v>
          </cell>
          <cell r="F4860">
            <v>23133.11</v>
          </cell>
        </row>
        <row r="4861">
          <cell r="A4861" t="str">
            <v>61550-43003-00</v>
          </cell>
          <cell r="F4861">
            <v>18981.96</v>
          </cell>
        </row>
        <row r="4862">
          <cell r="A4862" t="str">
            <v>61550-43005-00</v>
          </cell>
          <cell r="F4862">
            <v>41355.050000000003</v>
          </cell>
        </row>
        <row r="4863">
          <cell r="A4863" t="str">
            <v>61550-43009-00</v>
          </cell>
          <cell r="F4863">
            <v>36540.379999999997</v>
          </cell>
        </row>
        <row r="4864">
          <cell r="A4864" t="str">
            <v>61550-43029-00</v>
          </cell>
          <cell r="F4864">
            <v>6359.69</v>
          </cell>
        </row>
        <row r="4865">
          <cell r="A4865" t="str">
            <v>61550-43030-00</v>
          </cell>
          <cell r="F4865">
            <v>29261.439999999999</v>
          </cell>
        </row>
        <row r="4866">
          <cell r="A4866" t="str">
            <v>61550-43031-00</v>
          </cell>
          <cell r="F4866">
            <v>2685.83</v>
          </cell>
        </row>
        <row r="4867">
          <cell r="A4867" t="str">
            <v>61550-43032-00</v>
          </cell>
          <cell r="F4867">
            <v>2663.81</v>
          </cell>
        </row>
        <row r="4868">
          <cell r="A4868" t="str">
            <v>61550-43041-00</v>
          </cell>
          <cell r="F4868">
            <v>42612.58</v>
          </cell>
        </row>
        <row r="4869">
          <cell r="A4869" t="str">
            <v>61550-43052-00</v>
          </cell>
          <cell r="F4869">
            <v>0</v>
          </cell>
        </row>
        <row r="4870">
          <cell r="A4870" t="str">
            <v>61550-45001-00</v>
          </cell>
          <cell r="F4870">
            <v>25647</v>
          </cell>
        </row>
        <row r="4871">
          <cell r="A4871" t="str">
            <v>61550-45002-00</v>
          </cell>
          <cell r="F4871">
            <v>64204.7</v>
          </cell>
        </row>
        <row r="4872">
          <cell r="A4872" t="str">
            <v>61550-45003-00</v>
          </cell>
          <cell r="F4872">
            <v>120</v>
          </cell>
        </row>
        <row r="4873">
          <cell r="A4873" t="str">
            <v>61550-45005-00</v>
          </cell>
          <cell r="F4873">
            <v>7805.68</v>
          </cell>
        </row>
        <row r="4874">
          <cell r="A4874" t="str">
            <v>61550-45009-00</v>
          </cell>
          <cell r="F4874">
            <v>0</v>
          </cell>
        </row>
        <row r="4875">
          <cell r="A4875" t="str">
            <v>61550-45029-00</v>
          </cell>
          <cell r="F4875">
            <v>24517.4</v>
          </cell>
        </row>
        <row r="4876">
          <cell r="A4876" t="str">
            <v>61550-45030-00</v>
          </cell>
          <cell r="F4876">
            <v>8672.8700000000008</v>
          </cell>
        </row>
        <row r="4877">
          <cell r="A4877" t="str">
            <v>61550-45031-00</v>
          </cell>
          <cell r="F4877">
            <v>0</v>
          </cell>
        </row>
        <row r="4878">
          <cell r="A4878" t="str">
            <v>61550-45032-00</v>
          </cell>
          <cell r="F4878">
            <v>131.30000000000001</v>
          </cell>
        </row>
        <row r="4879">
          <cell r="A4879" t="str">
            <v>61550-45052-00</v>
          </cell>
          <cell r="F4879">
            <v>0</v>
          </cell>
        </row>
        <row r="4880">
          <cell r="A4880" t="str">
            <v>61550-51001-00</v>
          </cell>
          <cell r="F4880">
            <v>2971647.03</v>
          </cell>
        </row>
        <row r="4881">
          <cell r="A4881" t="str">
            <v>61550-51005-00</v>
          </cell>
          <cell r="F4881">
            <v>0</v>
          </cell>
        </row>
        <row r="4882">
          <cell r="A4882" t="str">
            <v>61550-53001-00</v>
          </cell>
          <cell r="F4882">
            <v>0</v>
          </cell>
        </row>
        <row r="4883">
          <cell r="A4883" t="str">
            <v>61550-61030-00</v>
          </cell>
          <cell r="F4883">
            <v>1168.94</v>
          </cell>
        </row>
        <row r="4884">
          <cell r="A4884" t="str">
            <v>61550-61031-00</v>
          </cell>
          <cell r="F4884">
            <v>1507.71</v>
          </cell>
        </row>
        <row r="4885">
          <cell r="A4885" t="str">
            <v>61550-62030-00</v>
          </cell>
          <cell r="F4885">
            <v>16355.12</v>
          </cell>
        </row>
        <row r="4886">
          <cell r="A4886" t="str">
            <v>61550-62032-00</v>
          </cell>
          <cell r="F4886">
            <v>0</v>
          </cell>
        </row>
        <row r="4887">
          <cell r="A4887" t="str">
            <v>61550-63030-00</v>
          </cell>
          <cell r="F4887">
            <v>564.34</v>
          </cell>
        </row>
        <row r="4888">
          <cell r="A4888" t="str">
            <v>61550-63032-00</v>
          </cell>
          <cell r="F4888">
            <v>713.47</v>
          </cell>
        </row>
        <row r="4889">
          <cell r="A4889" t="str">
            <v>61550-64032-00</v>
          </cell>
          <cell r="F4889">
            <v>211.52</v>
          </cell>
        </row>
        <row r="4890">
          <cell r="A4890" t="str">
            <v>61550-83001-00</v>
          </cell>
          <cell r="F4890">
            <v>0</v>
          </cell>
        </row>
        <row r="4891">
          <cell r="A4891" t="str">
            <v>61550-84001-00</v>
          </cell>
          <cell r="F4891">
            <v>0</v>
          </cell>
        </row>
        <row r="4892">
          <cell r="A4892" t="str">
            <v>61570-00000-00</v>
          </cell>
          <cell r="F4892">
            <v>0</v>
          </cell>
        </row>
        <row r="4893">
          <cell r="A4893" t="str">
            <v>61570-14001-00</v>
          </cell>
          <cell r="F4893">
            <v>3283.91</v>
          </cell>
        </row>
        <row r="4894">
          <cell r="A4894" t="str">
            <v>61570-15001-00</v>
          </cell>
          <cell r="F4894">
            <v>0</v>
          </cell>
        </row>
        <row r="4895">
          <cell r="A4895" t="str">
            <v>61570-15005-00</v>
          </cell>
          <cell r="F4895">
            <v>0</v>
          </cell>
        </row>
        <row r="4896">
          <cell r="A4896" t="str">
            <v>61570-31001-00</v>
          </cell>
          <cell r="F4896">
            <v>243.75</v>
          </cell>
        </row>
        <row r="4897">
          <cell r="A4897" t="str">
            <v>61570-41001-00</v>
          </cell>
          <cell r="F4897">
            <v>27920.2</v>
          </cell>
        </row>
        <row r="4898">
          <cell r="A4898" t="str">
            <v>61570-41002-00</v>
          </cell>
          <cell r="F4898">
            <v>8479.3700000000008</v>
          </cell>
        </row>
        <row r="4899">
          <cell r="A4899" t="str">
            <v>61570-41003-00</v>
          </cell>
          <cell r="F4899">
            <v>6390.13</v>
          </cell>
        </row>
        <row r="4900">
          <cell r="A4900" t="str">
            <v>61570-41004-00</v>
          </cell>
          <cell r="F4900">
            <v>1094.02</v>
          </cell>
        </row>
        <row r="4901">
          <cell r="A4901" t="str">
            <v>61570-41005-00</v>
          </cell>
          <cell r="F4901">
            <v>885.2</v>
          </cell>
        </row>
        <row r="4902">
          <cell r="A4902" t="str">
            <v>61570-41009-00</v>
          </cell>
          <cell r="F4902">
            <v>2348.35</v>
          </cell>
        </row>
        <row r="4903">
          <cell r="A4903" t="str">
            <v>61570-41029-00</v>
          </cell>
          <cell r="F4903">
            <v>0</v>
          </cell>
        </row>
        <row r="4904">
          <cell r="A4904" t="str">
            <v>61570-41030-00</v>
          </cell>
          <cell r="F4904">
            <v>3163.04</v>
          </cell>
        </row>
        <row r="4905">
          <cell r="A4905" t="str">
            <v>61570-41031-00</v>
          </cell>
          <cell r="F4905">
            <v>1110</v>
          </cell>
        </row>
        <row r="4906">
          <cell r="A4906" t="str">
            <v>61570-41032-00</v>
          </cell>
          <cell r="F4906">
            <v>0</v>
          </cell>
        </row>
        <row r="4907">
          <cell r="A4907" t="str">
            <v>61570-41041-00</v>
          </cell>
          <cell r="F4907">
            <v>1676</v>
          </cell>
        </row>
        <row r="4908">
          <cell r="A4908" t="str">
            <v>61570-41049-00</v>
          </cell>
          <cell r="F4908">
            <v>265.93</v>
          </cell>
        </row>
        <row r="4909">
          <cell r="A4909" t="str">
            <v>61570-41052-00</v>
          </cell>
          <cell r="F4909">
            <v>0</v>
          </cell>
        </row>
        <row r="4910">
          <cell r="A4910" t="str">
            <v>61570-43001-00</v>
          </cell>
          <cell r="F4910">
            <v>5975.48</v>
          </cell>
        </row>
        <row r="4911">
          <cell r="A4911" t="str">
            <v>61570-43002-00</v>
          </cell>
          <cell r="F4911">
            <v>6500.23</v>
          </cell>
        </row>
        <row r="4912">
          <cell r="A4912" t="str">
            <v>61570-43003-00</v>
          </cell>
          <cell r="F4912">
            <v>0</v>
          </cell>
        </row>
        <row r="4913">
          <cell r="A4913" t="str">
            <v>61570-43005-00</v>
          </cell>
          <cell r="F4913">
            <v>7399.46</v>
          </cell>
        </row>
        <row r="4914">
          <cell r="A4914" t="str">
            <v>61570-43009-00</v>
          </cell>
          <cell r="F4914">
            <v>1523.41</v>
          </cell>
        </row>
        <row r="4915">
          <cell r="A4915" t="str">
            <v>61570-43029-00</v>
          </cell>
          <cell r="F4915">
            <v>0</v>
          </cell>
        </row>
        <row r="4916">
          <cell r="A4916" t="str">
            <v>61570-43030-00</v>
          </cell>
          <cell r="F4916">
            <v>726</v>
          </cell>
        </row>
        <row r="4917">
          <cell r="A4917" t="str">
            <v>61570-43031-00</v>
          </cell>
          <cell r="F4917">
            <v>3180</v>
          </cell>
        </row>
        <row r="4918">
          <cell r="A4918" t="str">
            <v>61570-43032-00</v>
          </cell>
          <cell r="F4918">
            <v>0</v>
          </cell>
        </row>
        <row r="4919">
          <cell r="A4919" t="str">
            <v>61570-43041-00</v>
          </cell>
          <cell r="F4919">
            <v>165.22</v>
          </cell>
        </row>
        <row r="4920">
          <cell r="A4920" t="str">
            <v>61570-43052-00</v>
          </cell>
          <cell r="F4920">
            <v>0</v>
          </cell>
        </row>
        <row r="4921">
          <cell r="A4921" t="str">
            <v>61570-45001-00</v>
          </cell>
          <cell r="F4921">
            <v>449.17</v>
          </cell>
        </row>
        <row r="4922">
          <cell r="A4922" t="str">
            <v>61570-45002-00</v>
          </cell>
          <cell r="F4922">
            <v>13386.43</v>
          </cell>
        </row>
        <row r="4923">
          <cell r="A4923" t="str">
            <v>61570-45003-00</v>
          </cell>
          <cell r="F4923">
            <v>0</v>
          </cell>
        </row>
        <row r="4924">
          <cell r="A4924" t="str">
            <v>61570-45005-00</v>
          </cell>
          <cell r="F4924">
            <v>406.5</v>
          </cell>
        </row>
        <row r="4925">
          <cell r="A4925" t="str">
            <v>61570-45009-00</v>
          </cell>
          <cell r="F4925">
            <v>0</v>
          </cell>
        </row>
        <row r="4926">
          <cell r="A4926" t="str">
            <v>61570-45029-00</v>
          </cell>
          <cell r="F4926">
            <v>0</v>
          </cell>
        </row>
        <row r="4927">
          <cell r="A4927" t="str">
            <v>61570-45030-00</v>
          </cell>
          <cell r="F4927">
            <v>1157.08</v>
          </cell>
        </row>
        <row r="4928">
          <cell r="A4928" t="str">
            <v>61570-45031-00</v>
          </cell>
          <cell r="F4928">
            <v>960</v>
          </cell>
        </row>
        <row r="4929">
          <cell r="A4929" t="str">
            <v>61570-45032-00</v>
          </cell>
          <cell r="F4929">
            <v>0</v>
          </cell>
        </row>
        <row r="4930">
          <cell r="A4930" t="str">
            <v>61570-45052-00</v>
          </cell>
          <cell r="F4930">
            <v>0</v>
          </cell>
        </row>
        <row r="4931">
          <cell r="A4931" t="str">
            <v>61570-51001-00</v>
          </cell>
          <cell r="F4931">
            <v>647393.27</v>
          </cell>
        </row>
        <row r="4932">
          <cell r="A4932" t="str">
            <v>61570-51005-00</v>
          </cell>
          <cell r="F4932">
            <v>0</v>
          </cell>
        </row>
        <row r="4933">
          <cell r="A4933" t="str">
            <v>61570-53001-00</v>
          </cell>
          <cell r="F4933">
            <v>0</v>
          </cell>
        </row>
        <row r="4934">
          <cell r="A4934" t="str">
            <v>61570-61030-00</v>
          </cell>
          <cell r="F4934">
            <v>0</v>
          </cell>
        </row>
        <row r="4935">
          <cell r="A4935" t="str">
            <v>61570-61031-00</v>
          </cell>
          <cell r="F4935">
            <v>0</v>
          </cell>
        </row>
        <row r="4936">
          <cell r="A4936" t="str">
            <v>61570-62030-00</v>
          </cell>
          <cell r="F4936">
            <v>1163.24</v>
          </cell>
        </row>
        <row r="4937">
          <cell r="A4937" t="str">
            <v>61570-62032-00</v>
          </cell>
          <cell r="F4937">
            <v>0</v>
          </cell>
        </row>
        <row r="4938">
          <cell r="A4938" t="str">
            <v>61570-63030-00</v>
          </cell>
          <cell r="F4938">
            <v>0</v>
          </cell>
        </row>
        <row r="4939">
          <cell r="A4939" t="str">
            <v>61570-63032-00</v>
          </cell>
          <cell r="F4939">
            <v>0</v>
          </cell>
        </row>
        <row r="4940">
          <cell r="A4940" t="str">
            <v>61570-64032-00</v>
          </cell>
          <cell r="F4940">
            <v>0</v>
          </cell>
        </row>
        <row r="4941">
          <cell r="A4941" t="str">
            <v>61600-00000-00</v>
          </cell>
          <cell r="F4941">
            <v>0</v>
          </cell>
        </row>
        <row r="4942">
          <cell r="A4942" t="str">
            <v>61600-15001-00</v>
          </cell>
          <cell r="F4942">
            <v>430.21</v>
          </cell>
        </row>
        <row r="4943">
          <cell r="A4943" t="str">
            <v>61600-15005-00</v>
          </cell>
          <cell r="F4943">
            <v>0</v>
          </cell>
        </row>
        <row r="4944">
          <cell r="A4944" t="str">
            <v>61600-31001-00</v>
          </cell>
          <cell r="F4944">
            <v>264.97000000000003</v>
          </cell>
        </row>
        <row r="4945">
          <cell r="A4945" t="str">
            <v>61600-41001-00</v>
          </cell>
          <cell r="F4945">
            <v>6176.56</v>
          </cell>
        </row>
        <row r="4946">
          <cell r="A4946" t="str">
            <v>61600-41002-00</v>
          </cell>
          <cell r="F4946">
            <v>2548.36</v>
          </cell>
        </row>
        <row r="4947">
          <cell r="A4947" t="str">
            <v>61600-41003-00</v>
          </cell>
          <cell r="F4947">
            <v>3869.72</v>
          </cell>
        </row>
        <row r="4948">
          <cell r="A4948" t="str">
            <v>61600-41004-00</v>
          </cell>
          <cell r="F4948">
            <v>2590.9899999999998</v>
          </cell>
        </row>
        <row r="4949">
          <cell r="A4949" t="str">
            <v>61600-41005-00</v>
          </cell>
          <cell r="F4949">
            <v>1382.17</v>
          </cell>
        </row>
        <row r="4950">
          <cell r="A4950" t="str">
            <v>61600-41009-00</v>
          </cell>
          <cell r="F4950">
            <v>0</v>
          </cell>
        </row>
        <row r="4951">
          <cell r="A4951" t="str">
            <v>61600-41029-00</v>
          </cell>
          <cell r="F4951">
            <v>490.57</v>
          </cell>
        </row>
        <row r="4952">
          <cell r="A4952" t="str">
            <v>61600-41030-00</v>
          </cell>
          <cell r="F4952">
            <v>3333.34</v>
          </cell>
        </row>
        <row r="4953">
          <cell r="A4953" t="str">
            <v>61600-41031-00</v>
          </cell>
          <cell r="F4953">
            <v>329.35</v>
          </cell>
        </row>
        <row r="4954">
          <cell r="A4954" t="str">
            <v>61600-41032-00</v>
          </cell>
          <cell r="F4954">
            <v>0</v>
          </cell>
        </row>
        <row r="4955">
          <cell r="A4955" t="str">
            <v>61600-41041-00</v>
          </cell>
          <cell r="F4955">
            <v>455.76</v>
          </cell>
        </row>
        <row r="4956">
          <cell r="A4956" t="str">
            <v>61600-41049-00</v>
          </cell>
          <cell r="F4956">
            <v>0</v>
          </cell>
        </row>
        <row r="4957">
          <cell r="A4957" t="str">
            <v>61600-41052-00</v>
          </cell>
          <cell r="F4957">
            <v>0</v>
          </cell>
        </row>
        <row r="4958">
          <cell r="A4958" t="str">
            <v>61600-43001-00</v>
          </cell>
          <cell r="F4958">
            <v>3881.45</v>
          </cell>
        </row>
        <row r="4959">
          <cell r="A4959" t="str">
            <v>61600-43002-00</v>
          </cell>
          <cell r="F4959">
            <v>2917.39</v>
          </cell>
        </row>
        <row r="4960">
          <cell r="A4960" t="str">
            <v>61600-43003-00</v>
          </cell>
          <cell r="F4960">
            <v>1803.29</v>
          </cell>
        </row>
        <row r="4961">
          <cell r="A4961" t="str">
            <v>61600-43005-00</v>
          </cell>
          <cell r="F4961">
            <v>2928.91</v>
          </cell>
        </row>
        <row r="4962">
          <cell r="A4962" t="str">
            <v>61600-43009-00</v>
          </cell>
          <cell r="F4962">
            <v>2642.55</v>
          </cell>
        </row>
        <row r="4963">
          <cell r="A4963" t="str">
            <v>61600-43029-00</v>
          </cell>
          <cell r="F4963">
            <v>1088.27</v>
          </cell>
        </row>
        <row r="4964">
          <cell r="A4964" t="str">
            <v>61600-43030-00</v>
          </cell>
          <cell r="F4964">
            <v>2091.15</v>
          </cell>
        </row>
        <row r="4965">
          <cell r="A4965" t="str">
            <v>61600-43031-00</v>
          </cell>
          <cell r="F4965">
            <v>0</v>
          </cell>
        </row>
        <row r="4966">
          <cell r="A4966" t="str">
            <v>61600-43032-00</v>
          </cell>
          <cell r="F4966">
            <v>0</v>
          </cell>
        </row>
        <row r="4967">
          <cell r="A4967" t="str">
            <v>61600-43041-00</v>
          </cell>
          <cell r="F4967">
            <v>1293.69</v>
          </cell>
        </row>
        <row r="4968">
          <cell r="A4968" t="str">
            <v>61600-43052-00</v>
          </cell>
          <cell r="F4968">
            <v>0</v>
          </cell>
        </row>
        <row r="4969">
          <cell r="A4969" t="str">
            <v>61600-45001-00</v>
          </cell>
          <cell r="F4969">
            <v>293.49</v>
          </cell>
        </row>
        <row r="4970">
          <cell r="A4970" t="str">
            <v>61600-45002-00</v>
          </cell>
          <cell r="F4970">
            <v>3211.14</v>
          </cell>
        </row>
        <row r="4971">
          <cell r="A4971" t="str">
            <v>61600-45003-00</v>
          </cell>
          <cell r="F4971">
            <v>0</v>
          </cell>
        </row>
        <row r="4972">
          <cell r="A4972" t="str">
            <v>61600-45005-00</v>
          </cell>
          <cell r="F4972">
            <v>1055.96</v>
          </cell>
        </row>
        <row r="4973">
          <cell r="A4973" t="str">
            <v>61600-45009-00</v>
          </cell>
          <cell r="F4973">
            <v>0</v>
          </cell>
        </row>
        <row r="4974">
          <cell r="A4974" t="str">
            <v>61600-45029-00</v>
          </cell>
          <cell r="F4974">
            <v>1838.71</v>
          </cell>
        </row>
        <row r="4975">
          <cell r="A4975" t="str">
            <v>61600-45030-00</v>
          </cell>
          <cell r="F4975">
            <v>100.07</v>
          </cell>
        </row>
        <row r="4976">
          <cell r="A4976" t="str">
            <v>61600-45031-00</v>
          </cell>
          <cell r="F4976">
            <v>0</v>
          </cell>
        </row>
        <row r="4977">
          <cell r="A4977" t="str">
            <v>61600-45032-00</v>
          </cell>
          <cell r="F4977">
            <v>0</v>
          </cell>
        </row>
        <row r="4978">
          <cell r="A4978" t="str">
            <v>61600-45052-00</v>
          </cell>
          <cell r="F4978">
            <v>0</v>
          </cell>
        </row>
        <row r="4979">
          <cell r="A4979" t="str">
            <v>61600-51001-00</v>
          </cell>
          <cell r="F4979">
            <v>238200.17</v>
          </cell>
        </row>
        <row r="4980">
          <cell r="A4980" t="str">
            <v>61600-51005-00</v>
          </cell>
          <cell r="F4980">
            <v>0</v>
          </cell>
        </row>
        <row r="4981">
          <cell r="A4981" t="str">
            <v>61600-53001-00</v>
          </cell>
          <cell r="F4981">
            <v>0</v>
          </cell>
        </row>
        <row r="4982">
          <cell r="A4982" t="str">
            <v>61600-61030-00</v>
          </cell>
          <cell r="F4982">
            <v>0</v>
          </cell>
        </row>
        <row r="4983">
          <cell r="A4983" t="str">
            <v>61600-61031-00</v>
          </cell>
          <cell r="F4983">
            <v>0</v>
          </cell>
        </row>
        <row r="4984">
          <cell r="A4984" t="str">
            <v>61600-62030-00</v>
          </cell>
          <cell r="F4984">
            <v>83.79</v>
          </cell>
        </row>
        <row r="4985">
          <cell r="A4985" t="str">
            <v>61600-62032-00</v>
          </cell>
          <cell r="F4985">
            <v>0</v>
          </cell>
        </row>
        <row r="4986">
          <cell r="A4986" t="str">
            <v>61600-63030-00</v>
          </cell>
          <cell r="F4986">
            <v>0</v>
          </cell>
        </row>
        <row r="4987">
          <cell r="A4987" t="str">
            <v>61600-63032-00</v>
          </cell>
          <cell r="F4987">
            <v>0</v>
          </cell>
        </row>
        <row r="4988">
          <cell r="A4988" t="str">
            <v>61600-64032-00</v>
          </cell>
          <cell r="F4988">
            <v>0</v>
          </cell>
        </row>
        <row r="4989">
          <cell r="A4989" t="str">
            <v>61600-83001-00</v>
          </cell>
          <cell r="F4989">
            <v>70.11</v>
          </cell>
        </row>
        <row r="4990">
          <cell r="A4990" t="str">
            <v>61600-84001-00</v>
          </cell>
          <cell r="F4990">
            <v>0</v>
          </cell>
        </row>
        <row r="4991">
          <cell r="A4991" t="str">
            <v>61620-11001-00</v>
          </cell>
          <cell r="F4991">
            <v>224772.44</v>
          </cell>
        </row>
        <row r="4992">
          <cell r="A4992" t="str">
            <v>61620-11005-00</v>
          </cell>
          <cell r="F4992">
            <v>0</v>
          </cell>
        </row>
        <row r="4993">
          <cell r="A4993" t="str">
            <v>61620-15001-00</v>
          </cell>
          <cell r="F4993">
            <v>1059.9000000000001</v>
          </cell>
        </row>
        <row r="4994">
          <cell r="A4994" t="str">
            <v>61620-15005-00</v>
          </cell>
          <cell r="F4994">
            <v>0</v>
          </cell>
        </row>
        <row r="4995">
          <cell r="A4995" t="str">
            <v>61650-00000-00</v>
          </cell>
          <cell r="F4995">
            <v>0</v>
          </cell>
        </row>
        <row r="4996">
          <cell r="A4996" t="str">
            <v>61650-11001-00</v>
          </cell>
          <cell r="F4996">
            <v>267422.92</v>
          </cell>
        </row>
        <row r="4997">
          <cell r="A4997" t="str">
            <v>61650-11005-00</v>
          </cell>
          <cell r="F4997">
            <v>0</v>
          </cell>
        </row>
        <row r="4998">
          <cell r="A4998" t="str">
            <v>61650-13006-00</v>
          </cell>
          <cell r="F4998">
            <v>0</v>
          </cell>
        </row>
        <row r="4999">
          <cell r="A4999" t="str">
            <v>61650-13007-00</v>
          </cell>
          <cell r="F4999">
            <v>0</v>
          </cell>
        </row>
        <row r="5000">
          <cell r="A5000" t="str">
            <v>61650-14001-00</v>
          </cell>
          <cell r="F5000">
            <v>156012.1</v>
          </cell>
        </row>
        <row r="5001">
          <cell r="A5001" t="str">
            <v>61650-14049-00</v>
          </cell>
          <cell r="F5001">
            <v>0</v>
          </cell>
        </row>
        <row r="5002">
          <cell r="A5002" t="str">
            <v>61650-15001-00</v>
          </cell>
          <cell r="F5002">
            <v>179351.16</v>
          </cell>
        </row>
        <row r="5003">
          <cell r="A5003" t="str">
            <v>61650-15005-00</v>
          </cell>
          <cell r="F5003">
            <v>0</v>
          </cell>
        </row>
        <row r="5004">
          <cell r="A5004" t="str">
            <v>61650-31000-00</v>
          </cell>
          <cell r="F5004">
            <v>0</v>
          </cell>
        </row>
        <row r="5005">
          <cell r="A5005" t="str">
            <v>61650-31001-00</v>
          </cell>
          <cell r="F5005">
            <v>80162.81</v>
          </cell>
        </row>
        <row r="5006">
          <cell r="A5006" t="str">
            <v>61650-31010-00</v>
          </cell>
          <cell r="F5006">
            <v>10321.299999999999</v>
          </cell>
        </row>
        <row r="5007">
          <cell r="A5007" t="str">
            <v>61650-31011-00</v>
          </cell>
          <cell r="F5007">
            <v>4194.17</v>
          </cell>
        </row>
        <row r="5008">
          <cell r="A5008" t="str">
            <v>61650-31012-00</v>
          </cell>
          <cell r="F5008">
            <v>1376.62</v>
          </cell>
        </row>
        <row r="5009">
          <cell r="A5009" t="str">
            <v>61650-31013-00</v>
          </cell>
          <cell r="F5009">
            <v>0</v>
          </cell>
        </row>
        <row r="5010">
          <cell r="A5010" t="str">
            <v>61650-31014-00</v>
          </cell>
          <cell r="F5010">
            <v>0</v>
          </cell>
        </row>
        <row r="5011">
          <cell r="A5011" t="str">
            <v>61650-31015-00</v>
          </cell>
          <cell r="F5011">
            <v>0</v>
          </cell>
        </row>
        <row r="5012">
          <cell r="A5012" t="str">
            <v>61650-31016-00</v>
          </cell>
          <cell r="F5012">
            <v>0</v>
          </cell>
        </row>
        <row r="5013">
          <cell r="A5013" t="str">
            <v>61650-31017-00</v>
          </cell>
          <cell r="F5013">
            <v>5384.55</v>
          </cell>
        </row>
        <row r="5014">
          <cell r="A5014" t="str">
            <v>61650-31018-00</v>
          </cell>
          <cell r="F5014">
            <v>8139.29</v>
          </cell>
        </row>
        <row r="5015">
          <cell r="A5015" t="str">
            <v>61650-31019-00</v>
          </cell>
          <cell r="F5015">
            <v>4087.1</v>
          </cell>
        </row>
        <row r="5016">
          <cell r="A5016" t="str">
            <v>61650-31020-00</v>
          </cell>
          <cell r="F5016">
            <v>0</v>
          </cell>
        </row>
        <row r="5017">
          <cell r="A5017" t="str">
            <v>61650-31021-00</v>
          </cell>
          <cell r="F5017">
            <v>0</v>
          </cell>
        </row>
        <row r="5018">
          <cell r="A5018" t="str">
            <v>61650-31022-00</v>
          </cell>
          <cell r="F5018">
            <v>5114.68</v>
          </cell>
        </row>
        <row r="5019">
          <cell r="A5019" t="str">
            <v>61650-31023-00</v>
          </cell>
          <cell r="F5019">
            <v>2888.52</v>
          </cell>
        </row>
        <row r="5020">
          <cell r="A5020" t="str">
            <v>61650-31024-00</v>
          </cell>
          <cell r="F5020">
            <v>0</v>
          </cell>
        </row>
        <row r="5021">
          <cell r="A5021" t="str">
            <v>61650-31025-00</v>
          </cell>
          <cell r="F5021">
            <v>0</v>
          </cell>
        </row>
        <row r="5022">
          <cell r="A5022" t="str">
            <v>61650-31026-00</v>
          </cell>
          <cell r="F5022">
            <v>3475.89</v>
          </cell>
        </row>
        <row r="5023">
          <cell r="A5023" t="str">
            <v>61650-31027-00</v>
          </cell>
          <cell r="F5023">
            <v>0</v>
          </cell>
        </row>
        <row r="5024">
          <cell r="A5024" t="str">
            <v>61650-31028-00</v>
          </cell>
          <cell r="F5024">
            <v>2587.96</v>
          </cell>
        </row>
        <row r="5025">
          <cell r="A5025" t="str">
            <v>61650-31029-00</v>
          </cell>
          <cell r="F5025">
            <v>998.76</v>
          </cell>
        </row>
        <row r="5026">
          <cell r="A5026" t="str">
            <v>61650-31030-00</v>
          </cell>
          <cell r="F5026">
            <v>1438.24</v>
          </cell>
        </row>
        <row r="5027">
          <cell r="A5027" t="str">
            <v>61650-31031-00</v>
          </cell>
          <cell r="F5027">
            <v>0</v>
          </cell>
        </row>
        <row r="5028">
          <cell r="A5028" t="str">
            <v>61650-31032-00</v>
          </cell>
          <cell r="F5028">
            <v>2152.94</v>
          </cell>
        </row>
        <row r="5029">
          <cell r="A5029" t="str">
            <v>61650-31033-00</v>
          </cell>
          <cell r="F5029">
            <v>1317.81</v>
          </cell>
        </row>
        <row r="5030">
          <cell r="A5030" t="str">
            <v>61650-31034-00</v>
          </cell>
          <cell r="F5030">
            <v>0</v>
          </cell>
        </row>
        <row r="5031">
          <cell r="A5031" t="str">
            <v>61650-31035-00</v>
          </cell>
          <cell r="F5031">
            <v>0</v>
          </cell>
        </row>
        <row r="5032">
          <cell r="A5032" t="str">
            <v>61650-31036-00</v>
          </cell>
          <cell r="F5032">
            <v>0</v>
          </cell>
        </row>
        <row r="5033">
          <cell r="A5033" t="str">
            <v>61650-31037-00</v>
          </cell>
          <cell r="F5033">
            <v>0</v>
          </cell>
        </row>
        <row r="5034">
          <cell r="A5034" t="str">
            <v>61650-31038-00</v>
          </cell>
          <cell r="F5034">
            <v>2048.2600000000002</v>
          </cell>
        </row>
        <row r="5035">
          <cell r="A5035" t="str">
            <v>61650-31039-00</v>
          </cell>
          <cell r="F5035">
            <v>0</v>
          </cell>
        </row>
        <row r="5036">
          <cell r="A5036" t="str">
            <v>61650-31040-00</v>
          </cell>
          <cell r="F5036">
            <v>0</v>
          </cell>
        </row>
        <row r="5037">
          <cell r="A5037" t="str">
            <v>61650-31041-00</v>
          </cell>
          <cell r="F5037">
            <v>6196.72</v>
          </cell>
        </row>
        <row r="5038">
          <cell r="A5038" t="str">
            <v>61650-31042-00</v>
          </cell>
          <cell r="F5038">
            <v>1051.33</v>
          </cell>
        </row>
        <row r="5039">
          <cell r="A5039" t="str">
            <v>61650-31043-00</v>
          </cell>
          <cell r="F5039">
            <v>2448.7399999999998</v>
          </cell>
        </row>
        <row r="5040">
          <cell r="A5040" t="str">
            <v>61650-31044-00</v>
          </cell>
          <cell r="F5040">
            <v>0</v>
          </cell>
        </row>
        <row r="5041">
          <cell r="A5041" t="str">
            <v>61650-31045-00</v>
          </cell>
          <cell r="F5041">
            <v>0</v>
          </cell>
        </row>
        <row r="5042">
          <cell r="A5042" t="str">
            <v>61650-31046-00</v>
          </cell>
          <cell r="F5042">
            <v>1497.45</v>
          </cell>
        </row>
        <row r="5043">
          <cell r="A5043" t="str">
            <v>61650-31047-00</v>
          </cell>
          <cell r="F5043">
            <v>0</v>
          </cell>
        </row>
        <row r="5044">
          <cell r="A5044" t="str">
            <v>61650-31048-00</v>
          </cell>
          <cell r="F5044">
            <v>1632.05</v>
          </cell>
        </row>
        <row r="5045">
          <cell r="A5045" t="str">
            <v>61650-31049-00</v>
          </cell>
          <cell r="F5045">
            <v>0</v>
          </cell>
        </row>
        <row r="5046">
          <cell r="A5046" t="str">
            <v>61650-31050-00</v>
          </cell>
          <cell r="F5046">
            <v>0</v>
          </cell>
        </row>
        <row r="5047">
          <cell r="A5047" t="str">
            <v>61650-31051-00</v>
          </cell>
          <cell r="F5047">
            <v>0</v>
          </cell>
        </row>
        <row r="5048">
          <cell r="A5048" t="str">
            <v>61650-31053-00</v>
          </cell>
          <cell r="F5048">
            <v>0</v>
          </cell>
        </row>
        <row r="5049">
          <cell r="A5049" t="str">
            <v>61650-31054-00</v>
          </cell>
          <cell r="F5049">
            <v>0</v>
          </cell>
        </row>
        <row r="5050">
          <cell r="A5050" t="str">
            <v>61650-31055-00</v>
          </cell>
          <cell r="F5050">
            <v>0</v>
          </cell>
        </row>
        <row r="5051">
          <cell r="A5051" t="str">
            <v>61650-31056-00</v>
          </cell>
          <cell r="F5051">
            <v>0</v>
          </cell>
        </row>
        <row r="5052">
          <cell r="A5052" t="str">
            <v>61650-31057-00</v>
          </cell>
          <cell r="F5052">
            <v>0</v>
          </cell>
        </row>
        <row r="5053">
          <cell r="A5053" t="str">
            <v>61650-31058-00</v>
          </cell>
          <cell r="F5053">
            <v>0</v>
          </cell>
        </row>
        <row r="5054">
          <cell r="A5054" t="str">
            <v>61650-31059-00</v>
          </cell>
          <cell r="F5054">
            <v>0</v>
          </cell>
        </row>
        <row r="5055">
          <cell r="A5055" t="str">
            <v>61650-31060-00</v>
          </cell>
          <cell r="F5055">
            <v>0</v>
          </cell>
        </row>
        <row r="5056">
          <cell r="A5056" t="str">
            <v>61650-31061-00</v>
          </cell>
          <cell r="F5056">
            <v>0</v>
          </cell>
        </row>
        <row r="5057">
          <cell r="A5057" t="str">
            <v>61650-31062-00</v>
          </cell>
          <cell r="F5057">
            <v>0</v>
          </cell>
        </row>
        <row r="5058">
          <cell r="A5058" t="str">
            <v>61650-31063-00</v>
          </cell>
          <cell r="F5058">
            <v>0</v>
          </cell>
        </row>
        <row r="5059">
          <cell r="A5059" t="str">
            <v>61650-31064-00</v>
          </cell>
          <cell r="F5059">
            <v>0</v>
          </cell>
        </row>
        <row r="5060">
          <cell r="A5060" t="str">
            <v>61650-31065-00</v>
          </cell>
          <cell r="F5060">
            <v>8427.36</v>
          </cell>
        </row>
        <row r="5061">
          <cell r="A5061" t="str">
            <v>61650-31066-00</v>
          </cell>
          <cell r="F5061">
            <v>3128.15</v>
          </cell>
        </row>
        <row r="5062">
          <cell r="A5062" t="str">
            <v>61650-31067-00</v>
          </cell>
          <cell r="F5062">
            <v>3331.77</v>
          </cell>
        </row>
        <row r="5063">
          <cell r="A5063" t="str">
            <v>61650-31068-00</v>
          </cell>
          <cell r="F5063">
            <v>6869.98</v>
          </cell>
        </row>
        <row r="5064">
          <cell r="A5064" t="str">
            <v>61650-31069-00</v>
          </cell>
          <cell r="F5064">
            <v>6469.72</v>
          </cell>
        </row>
        <row r="5065">
          <cell r="A5065" t="str">
            <v>61650-31070-00</v>
          </cell>
          <cell r="F5065">
            <v>5406.14</v>
          </cell>
        </row>
        <row r="5066">
          <cell r="A5066" t="str">
            <v>61650-31071-00</v>
          </cell>
          <cell r="F5066">
            <v>0</v>
          </cell>
        </row>
        <row r="5067">
          <cell r="A5067" t="str">
            <v>61650-31072-00</v>
          </cell>
          <cell r="F5067">
            <v>0</v>
          </cell>
        </row>
        <row r="5068">
          <cell r="A5068" t="str">
            <v>61650-31073-00</v>
          </cell>
          <cell r="F5068">
            <v>0</v>
          </cell>
        </row>
        <row r="5069">
          <cell r="A5069" t="str">
            <v>61650-31074-00</v>
          </cell>
          <cell r="F5069">
            <v>0</v>
          </cell>
        </row>
        <row r="5070">
          <cell r="A5070" t="str">
            <v>61650-31075-00</v>
          </cell>
          <cell r="F5070">
            <v>0</v>
          </cell>
        </row>
        <row r="5071">
          <cell r="A5071" t="str">
            <v>61650-31076-00</v>
          </cell>
          <cell r="F5071">
            <v>0</v>
          </cell>
        </row>
        <row r="5072">
          <cell r="A5072" t="str">
            <v>61650-31077-00</v>
          </cell>
          <cell r="F5072">
            <v>0</v>
          </cell>
        </row>
        <row r="5073">
          <cell r="A5073" t="str">
            <v>61650-31078-00</v>
          </cell>
          <cell r="F5073">
            <v>0</v>
          </cell>
        </row>
        <row r="5074">
          <cell r="A5074" t="str">
            <v>61650-41001-00</v>
          </cell>
          <cell r="F5074">
            <v>132793.51999999999</v>
          </cell>
        </row>
        <row r="5075">
          <cell r="A5075" t="str">
            <v>61650-41002-00</v>
          </cell>
          <cell r="F5075">
            <v>62324.85</v>
          </cell>
        </row>
        <row r="5076">
          <cell r="A5076" t="str">
            <v>61650-41003-00</v>
          </cell>
          <cell r="F5076">
            <v>67890.070000000007</v>
          </cell>
        </row>
        <row r="5077">
          <cell r="A5077" t="str">
            <v>61650-41004-00</v>
          </cell>
          <cell r="F5077">
            <v>44461.13</v>
          </cell>
        </row>
        <row r="5078">
          <cell r="A5078" t="str">
            <v>61650-41005-00</v>
          </cell>
          <cell r="F5078">
            <v>98797.59</v>
          </cell>
        </row>
        <row r="5079">
          <cell r="A5079" t="str">
            <v>61650-41009-00</v>
          </cell>
          <cell r="F5079">
            <v>66725.460000000006</v>
          </cell>
        </row>
        <row r="5080">
          <cell r="A5080" t="str">
            <v>61650-41029-00</v>
          </cell>
          <cell r="F5080">
            <v>0</v>
          </cell>
        </row>
        <row r="5081">
          <cell r="A5081" t="str">
            <v>61650-41030-00</v>
          </cell>
          <cell r="F5081">
            <v>6559.59</v>
          </cell>
        </row>
        <row r="5082">
          <cell r="A5082" t="str">
            <v>61650-41031-00</v>
          </cell>
          <cell r="F5082">
            <v>10860.05</v>
          </cell>
        </row>
        <row r="5083">
          <cell r="A5083" t="str">
            <v>61650-41032-00</v>
          </cell>
          <cell r="F5083">
            <v>1881.68</v>
          </cell>
        </row>
        <row r="5084">
          <cell r="A5084" t="str">
            <v>61650-41041-00</v>
          </cell>
          <cell r="F5084">
            <v>0</v>
          </cell>
        </row>
        <row r="5085">
          <cell r="A5085" t="str">
            <v>61650-41049-00</v>
          </cell>
          <cell r="F5085">
            <v>0</v>
          </cell>
        </row>
        <row r="5086">
          <cell r="A5086" t="str">
            <v>61650-41052-00</v>
          </cell>
          <cell r="F5086">
            <v>0</v>
          </cell>
        </row>
        <row r="5087">
          <cell r="A5087" t="str">
            <v>61650-43001-00</v>
          </cell>
          <cell r="F5087">
            <v>24832.23</v>
          </cell>
        </row>
        <row r="5088">
          <cell r="A5088" t="str">
            <v>61650-43002-00</v>
          </cell>
          <cell r="F5088">
            <v>13984.12</v>
          </cell>
        </row>
        <row r="5089">
          <cell r="A5089" t="str">
            <v>61650-43003-00</v>
          </cell>
          <cell r="F5089">
            <v>17418.53</v>
          </cell>
        </row>
        <row r="5090">
          <cell r="A5090" t="str">
            <v>61650-43005-00</v>
          </cell>
          <cell r="F5090">
            <v>59987.05</v>
          </cell>
        </row>
        <row r="5091">
          <cell r="A5091" t="str">
            <v>61650-43009-00</v>
          </cell>
          <cell r="F5091">
            <v>54135.94</v>
          </cell>
        </row>
        <row r="5092">
          <cell r="A5092" t="str">
            <v>61650-43029-00</v>
          </cell>
          <cell r="F5092">
            <v>5575.51</v>
          </cell>
        </row>
        <row r="5093">
          <cell r="A5093" t="str">
            <v>61650-43030-00</v>
          </cell>
          <cell r="F5093">
            <v>69092.95</v>
          </cell>
        </row>
        <row r="5094">
          <cell r="A5094" t="str">
            <v>61650-43031-00</v>
          </cell>
          <cell r="F5094">
            <v>12800.1</v>
          </cell>
        </row>
        <row r="5095">
          <cell r="A5095" t="str">
            <v>61650-43032-00</v>
          </cell>
          <cell r="F5095">
            <v>13252.72</v>
          </cell>
        </row>
        <row r="5096">
          <cell r="A5096" t="str">
            <v>61650-43041-00</v>
          </cell>
          <cell r="F5096">
            <v>21749.23</v>
          </cell>
        </row>
        <row r="5097">
          <cell r="A5097" t="str">
            <v>61650-43052-00</v>
          </cell>
          <cell r="F5097">
            <v>0</v>
          </cell>
        </row>
        <row r="5098">
          <cell r="A5098" t="str">
            <v>61650-45001-00</v>
          </cell>
          <cell r="F5098">
            <v>52346.879999999997</v>
          </cell>
        </row>
        <row r="5099">
          <cell r="A5099" t="str">
            <v>61650-45002-00</v>
          </cell>
          <cell r="F5099">
            <v>15558.93</v>
          </cell>
        </row>
        <row r="5100">
          <cell r="A5100" t="str">
            <v>61650-45003-00</v>
          </cell>
          <cell r="F5100">
            <v>1934.38</v>
          </cell>
        </row>
        <row r="5101">
          <cell r="A5101" t="str">
            <v>61650-45005-00</v>
          </cell>
          <cell r="F5101">
            <v>51062.71</v>
          </cell>
        </row>
        <row r="5102">
          <cell r="A5102" t="str">
            <v>61650-45009-00</v>
          </cell>
          <cell r="F5102">
            <v>8680.64</v>
          </cell>
        </row>
        <row r="5103">
          <cell r="A5103" t="str">
            <v>61650-45029-00</v>
          </cell>
          <cell r="F5103">
            <v>14438.62</v>
          </cell>
        </row>
        <row r="5104">
          <cell r="A5104" t="str">
            <v>61650-45030-00</v>
          </cell>
          <cell r="F5104">
            <v>5091.97</v>
          </cell>
        </row>
        <row r="5105">
          <cell r="A5105" t="str">
            <v>61650-45031-00</v>
          </cell>
          <cell r="F5105">
            <v>1961.56</v>
          </cell>
        </row>
        <row r="5106">
          <cell r="A5106" t="str">
            <v>61650-45032-00</v>
          </cell>
          <cell r="F5106">
            <v>360.33</v>
          </cell>
        </row>
        <row r="5107">
          <cell r="A5107" t="str">
            <v>61650-45052-00</v>
          </cell>
          <cell r="F5107">
            <v>0</v>
          </cell>
        </row>
        <row r="5108">
          <cell r="A5108" t="str">
            <v>61650-51001-00</v>
          </cell>
          <cell r="F5108">
            <v>1536330.74</v>
          </cell>
        </row>
        <row r="5109">
          <cell r="A5109" t="str">
            <v>61650-51005-00</v>
          </cell>
          <cell r="F5109">
            <v>0</v>
          </cell>
        </row>
        <row r="5110">
          <cell r="A5110" t="str">
            <v>61650-53001-00</v>
          </cell>
          <cell r="F5110">
            <v>9658.92</v>
          </cell>
        </row>
        <row r="5111">
          <cell r="A5111" t="str">
            <v>61650-61030-00</v>
          </cell>
          <cell r="F5111">
            <v>1952.53</v>
          </cell>
        </row>
        <row r="5112">
          <cell r="A5112" t="str">
            <v>61650-61031-00</v>
          </cell>
          <cell r="F5112">
            <v>26685.79</v>
          </cell>
        </row>
        <row r="5113">
          <cell r="A5113" t="str">
            <v>61650-62030-00</v>
          </cell>
          <cell r="F5113">
            <v>45875.78</v>
          </cell>
        </row>
        <row r="5114">
          <cell r="A5114" t="str">
            <v>61650-62032-00</v>
          </cell>
          <cell r="F5114">
            <v>7.2</v>
          </cell>
        </row>
        <row r="5115">
          <cell r="A5115" t="str">
            <v>61650-63030-00</v>
          </cell>
          <cell r="F5115">
            <v>7542.79</v>
          </cell>
        </row>
        <row r="5116">
          <cell r="A5116" t="str">
            <v>61650-63032-00</v>
          </cell>
          <cell r="F5116">
            <v>3117.88</v>
          </cell>
        </row>
        <row r="5117">
          <cell r="A5117" t="str">
            <v>61650-64032-00</v>
          </cell>
          <cell r="F5117">
            <v>2157.66</v>
          </cell>
        </row>
        <row r="5118">
          <cell r="A5118" t="str">
            <v>61650-81001-00</v>
          </cell>
          <cell r="F5118">
            <v>0</v>
          </cell>
        </row>
        <row r="5119">
          <cell r="A5119" t="str">
            <v>61650-81005-00</v>
          </cell>
          <cell r="F5119">
            <v>0</v>
          </cell>
        </row>
        <row r="5120">
          <cell r="A5120" t="str">
            <v>61650-83001-00</v>
          </cell>
          <cell r="F5120">
            <v>361494.44</v>
          </cell>
        </row>
        <row r="5121">
          <cell r="A5121" t="str">
            <v>61650-84001-00</v>
          </cell>
          <cell r="F5121">
            <v>0</v>
          </cell>
        </row>
        <row r="5122">
          <cell r="A5122" t="str">
            <v>61650-85001-00</v>
          </cell>
          <cell r="F5122">
            <v>0</v>
          </cell>
        </row>
        <row r="5123">
          <cell r="A5123" t="str">
            <v>61650-89001-00</v>
          </cell>
          <cell r="F5123">
            <v>0</v>
          </cell>
        </row>
        <row r="5124">
          <cell r="A5124" t="str">
            <v>61700-00000-00</v>
          </cell>
          <cell r="F5124">
            <v>0</v>
          </cell>
        </row>
        <row r="5125">
          <cell r="A5125" t="str">
            <v>61700-11001-00</v>
          </cell>
          <cell r="F5125">
            <v>430.14</v>
          </cell>
        </row>
        <row r="5126">
          <cell r="A5126" t="str">
            <v>61700-11005-00</v>
          </cell>
          <cell r="F5126">
            <v>0</v>
          </cell>
        </row>
        <row r="5127">
          <cell r="A5127" t="str">
            <v>61700-13006-00</v>
          </cell>
          <cell r="F5127">
            <v>223.68</v>
          </cell>
        </row>
        <row r="5128">
          <cell r="A5128" t="str">
            <v>61700-13007-00</v>
          </cell>
          <cell r="F5128">
            <v>0</v>
          </cell>
        </row>
        <row r="5129">
          <cell r="A5129" t="str">
            <v>61700-14049-00</v>
          </cell>
          <cell r="F5129">
            <v>0</v>
          </cell>
        </row>
        <row r="5130">
          <cell r="A5130" t="str">
            <v>61700-15001-00</v>
          </cell>
          <cell r="F5130">
            <v>32.68</v>
          </cell>
        </row>
        <row r="5131">
          <cell r="A5131" t="str">
            <v>61700-15005-00</v>
          </cell>
          <cell r="F5131">
            <v>0</v>
          </cell>
        </row>
        <row r="5132">
          <cell r="A5132" t="str">
            <v>61700-31000-00</v>
          </cell>
          <cell r="F5132">
            <v>0</v>
          </cell>
        </row>
        <row r="5133">
          <cell r="A5133" t="str">
            <v>61700-31001-00</v>
          </cell>
          <cell r="F5133">
            <v>3588.21</v>
          </cell>
        </row>
        <row r="5134">
          <cell r="A5134" t="str">
            <v>61700-31010-00</v>
          </cell>
          <cell r="F5134">
            <v>12496.33</v>
          </cell>
        </row>
        <row r="5135">
          <cell r="A5135" t="str">
            <v>61700-31011-00</v>
          </cell>
          <cell r="F5135">
            <v>0</v>
          </cell>
        </row>
        <row r="5136">
          <cell r="A5136" t="str">
            <v>61700-31012-00</v>
          </cell>
          <cell r="F5136">
            <v>0</v>
          </cell>
        </row>
        <row r="5137">
          <cell r="A5137" t="str">
            <v>61700-31013-00</v>
          </cell>
          <cell r="F5137">
            <v>0</v>
          </cell>
        </row>
        <row r="5138">
          <cell r="A5138" t="str">
            <v>61700-31014-00</v>
          </cell>
          <cell r="F5138">
            <v>0</v>
          </cell>
        </row>
        <row r="5139">
          <cell r="A5139" t="str">
            <v>61700-31015-00</v>
          </cell>
          <cell r="F5139">
            <v>0</v>
          </cell>
        </row>
        <row r="5140">
          <cell r="A5140" t="str">
            <v>61700-31016-00</v>
          </cell>
          <cell r="F5140">
            <v>0</v>
          </cell>
        </row>
        <row r="5141">
          <cell r="A5141" t="str">
            <v>61700-31017-00</v>
          </cell>
          <cell r="F5141">
            <v>206.25</v>
          </cell>
        </row>
        <row r="5142">
          <cell r="A5142" t="str">
            <v>61700-31018-00</v>
          </cell>
          <cell r="F5142">
            <v>10591.25</v>
          </cell>
        </row>
        <row r="5143">
          <cell r="A5143" t="str">
            <v>61700-31019-00</v>
          </cell>
          <cell r="F5143">
            <v>2823.26</v>
          </cell>
        </row>
        <row r="5144">
          <cell r="A5144" t="str">
            <v>61700-31020-00</v>
          </cell>
          <cell r="F5144">
            <v>0</v>
          </cell>
        </row>
        <row r="5145">
          <cell r="A5145" t="str">
            <v>61700-31021-00</v>
          </cell>
          <cell r="F5145">
            <v>0</v>
          </cell>
        </row>
        <row r="5146">
          <cell r="A5146" t="str">
            <v>61700-31022-00</v>
          </cell>
          <cell r="F5146">
            <v>5220.54</v>
          </cell>
        </row>
        <row r="5147">
          <cell r="A5147" t="str">
            <v>61700-31023-00</v>
          </cell>
          <cell r="F5147">
            <v>6798</v>
          </cell>
        </row>
        <row r="5148">
          <cell r="A5148" t="str">
            <v>61700-31024-00</v>
          </cell>
          <cell r="F5148">
            <v>0</v>
          </cell>
        </row>
        <row r="5149">
          <cell r="A5149" t="str">
            <v>61700-31025-00</v>
          </cell>
          <cell r="F5149">
            <v>0</v>
          </cell>
        </row>
        <row r="5150">
          <cell r="A5150" t="str">
            <v>61700-31026-00</v>
          </cell>
          <cell r="F5150">
            <v>4953.1899999999996</v>
          </cell>
        </row>
        <row r="5151">
          <cell r="A5151" t="str">
            <v>61700-31027-00</v>
          </cell>
          <cell r="F5151">
            <v>0</v>
          </cell>
        </row>
        <row r="5152">
          <cell r="A5152" t="str">
            <v>61700-31028-00</v>
          </cell>
          <cell r="F5152">
            <v>8144.04</v>
          </cell>
        </row>
        <row r="5153">
          <cell r="A5153" t="str">
            <v>61700-31029-00</v>
          </cell>
          <cell r="F5153">
            <v>2898.09</v>
          </cell>
        </row>
        <row r="5154">
          <cell r="A5154" t="str">
            <v>61700-31030-00</v>
          </cell>
          <cell r="F5154">
            <v>3285.02</v>
          </cell>
        </row>
        <row r="5155">
          <cell r="A5155" t="str">
            <v>61700-31031-00</v>
          </cell>
          <cell r="F5155">
            <v>1235.42</v>
          </cell>
        </row>
        <row r="5156">
          <cell r="A5156" t="str">
            <v>61700-31032-00</v>
          </cell>
          <cell r="F5156">
            <v>0</v>
          </cell>
        </row>
        <row r="5157">
          <cell r="A5157" t="str">
            <v>61700-31033-00</v>
          </cell>
          <cell r="F5157">
            <v>4079.42</v>
          </cell>
        </row>
        <row r="5158">
          <cell r="A5158" t="str">
            <v>61700-31034-00</v>
          </cell>
          <cell r="F5158">
            <v>0</v>
          </cell>
        </row>
        <row r="5159">
          <cell r="A5159" t="str">
            <v>61700-31035-00</v>
          </cell>
          <cell r="F5159">
            <v>0</v>
          </cell>
        </row>
        <row r="5160">
          <cell r="A5160" t="str">
            <v>61700-31036-00</v>
          </cell>
          <cell r="F5160">
            <v>0</v>
          </cell>
        </row>
        <row r="5161">
          <cell r="A5161" t="str">
            <v>61700-31037-00</v>
          </cell>
          <cell r="F5161">
            <v>0</v>
          </cell>
        </row>
        <row r="5162">
          <cell r="A5162" t="str">
            <v>61700-31038-00</v>
          </cell>
          <cell r="F5162">
            <v>0</v>
          </cell>
        </row>
        <row r="5163">
          <cell r="A5163" t="str">
            <v>61700-31039-00</v>
          </cell>
          <cell r="F5163">
            <v>0</v>
          </cell>
        </row>
        <row r="5164">
          <cell r="A5164" t="str">
            <v>61700-31040-00</v>
          </cell>
          <cell r="F5164">
            <v>0</v>
          </cell>
        </row>
        <row r="5165">
          <cell r="A5165" t="str">
            <v>61700-31041-00</v>
          </cell>
          <cell r="F5165">
            <v>0</v>
          </cell>
        </row>
        <row r="5166">
          <cell r="A5166" t="str">
            <v>61700-31042-00</v>
          </cell>
          <cell r="F5166">
            <v>0</v>
          </cell>
        </row>
        <row r="5167">
          <cell r="A5167" t="str">
            <v>61700-31043-00</v>
          </cell>
          <cell r="F5167">
            <v>367.94</v>
          </cell>
        </row>
        <row r="5168">
          <cell r="A5168" t="str">
            <v>61700-31044-00</v>
          </cell>
          <cell r="F5168">
            <v>0</v>
          </cell>
        </row>
        <row r="5169">
          <cell r="A5169" t="str">
            <v>61700-31045-00</v>
          </cell>
          <cell r="F5169">
            <v>0</v>
          </cell>
        </row>
        <row r="5170">
          <cell r="A5170" t="str">
            <v>61700-31046-00</v>
          </cell>
          <cell r="F5170">
            <v>3383.29</v>
          </cell>
        </row>
        <row r="5171">
          <cell r="A5171" t="str">
            <v>61700-31047-00</v>
          </cell>
          <cell r="F5171">
            <v>0</v>
          </cell>
        </row>
        <row r="5172">
          <cell r="A5172" t="str">
            <v>61700-31048-00</v>
          </cell>
          <cell r="F5172">
            <v>2425.92</v>
          </cell>
        </row>
        <row r="5173">
          <cell r="A5173" t="str">
            <v>61700-31049-00</v>
          </cell>
          <cell r="F5173">
            <v>0</v>
          </cell>
        </row>
        <row r="5174">
          <cell r="A5174" t="str">
            <v>61700-31050-00</v>
          </cell>
          <cell r="F5174">
            <v>0</v>
          </cell>
        </row>
        <row r="5175">
          <cell r="A5175" t="str">
            <v>61700-31051-00</v>
          </cell>
          <cell r="F5175">
            <v>0</v>
          </cell>
        </row>
        <row r="5176">
          <cell r="A5176" t="str">
            <v>61700-31053-00</v>
          </cell>
          <cell r="F5176">
            <v>0</v>
          </cell>
        </row>
        <row r="5177">
          <cell r="A5177" t="str">
            <v>61700-31054-00</v>
          </cell>
          <cell r="F5177">
            <v>0</v>
          </cell>
        </row>
        <row r="5178">
          <cell r="A5178" t="str">
            <v>61700-31055-00</v>
          </cell>
          <cell r="F5178">
            <v>2454.16</v>
          </cell>
        </row>
        <row r="5179">
          <cell r="A5179" t="str">
            <v>61700-31056-00</v>
          </cell>
          <cell r="F5179">
            <v>0</v>
          </cell>
        </row>
        <row r="5180">
          <cell r="A5180" t="str">
            <v>61700-31057-00</v>
          </cell>
          <cell r="F5180">
            <v>0</v>
          </cell>
        </row>
        <row r="5181">
          <cell r="A5181" t="str">
            <v>61700-31058-00</v>
          </cell>
          <cell r="F5181">
            <v>0</v>
          </cell>
        </row>
        <row r="5182">
          <cell r="A5182" t="str">
            <v>61700-31059-00</v>
          </cell>
          <cell r="F5182">
            <v>0</v>
          </cell>
        </row>
        <row r="5183">
          <cell r="A5183" t="str">
            <v>61700-31060-00</v>
          </cell>
          <cell r="F5183">
            <v>0</v>
          </cell>
        </row>
        <row r="5184">
          <cell r="A5184" t="str">
            <v>61700-31061-00</v>
          </cell>
          <cell r="F5184">
            <v>0</v>
          </cell>
        </row>
        <row r="5185">
          <cell r="A5185" t="str">
            <v>61700-31062-00</v>
          </cell>
          <cell r="F5185">
            <v>0</v>
          </cell>
        </row>
        <row r="5186">
          <cell r="A5186" t="str">
            <v>61700-31063-00</v>
          </cell>
          <cell r="F5186">
            <v>0</v>
          </cell>
        </row>
        <row r="5187">
          <cell r="A5187" t="str">
            <v>61700-31064-00</v>
          </cell>
          <cell r="F5187">
            <v>0</v>
          </cell>
        </row>
        <row r="5188">
          <cell r="A5188" t="str">
            <v>61700-31065-00</v>
          </cell>
          <cell r="F5188">
            <v>5109.46</v>
          </cell>
        </row>
        <row r="5189">
          <cell r="A5189" t="str">
            <v>61700-31066-00</v>
          </cell>
          <cell r="F5189">
            <v>0</v>
          </cell>
        </row>
        <row r="5190">
          <cell r="A5190" t="str">
            <v>61700-31067-00</v>
          </cell>
          <cell r="F5190">
            <v>1357.37</v>
          </cell>
        </row>
        <row r="5191">
          <cell r="A5191" t="str">
            <v>61700-31068-00</v>
          </cell>
          <cell r="F5191">
            <v>3418.74</v>
          </cell>
        </row>
        <row r="5192">
          <cell r="A5192" t="str">
            <v>61700-31069-00</v>
          </cell>
          <cell r="F5192">
            <v>1516.73</v>
          </cell>
        </row>
        <row r="5193">
          <cell r="A5193" t="str">
            <v>61700-31070-00</v>
          </cell>
          <cell r="F5193">
            <v>3926.49</v>
          </cell>
        </row>
        <row r="5194">
          <cell r="A5194" t="str">
            <v>61700-31071-00</v>
          </cell>
          <cell r="F5194">
            <v>0</v>
          </cell>
        </row>
        <row r="5195">
          <cell r="A5195" t="str">
            <v>61700-31072-00</v>
          </cell>
          <cell r="F5195">
            <v>0</v>
          </cell>
        </row>
        <row r="5196">
          <cell r="A5196" t="str">
            <v>61700-31073-00</v>
          </cell>
          <cell r="F5196">
            <v>0</v>
          </cell>
        </row>
        <row r="5197">
          <cell r="A5197" t="str">
            <v>61700-31074-00</v>
          </cell>
          <cell r="F5197">
            <v>0</v>
          </cell>
        </row>
        <row r="5198">
          <cell r="A5198" t="str">
            <v>61700-31075-00</v>
          </cell>
          <cell r="F5198">
            <v>0</v>
          </cell>
        </row>
        <row r="5199">
          <cell r="A5199" t="str">
            <v>61700-31076-00</v>
          </cell>
          <cell r="F5199">
            <v>0</v>
          </cell>
        </row>
        <row r="5200">
          <cell r="A5200" t="str">
            <v>61700-31077-00</v>
          </cell>
          <cell r="F5200">
            <v>0</v>
          </cell>
        </row>
        <row r="5201">
          <cell r="A5201" t="str">
            <v>61700-31078-00</v>
          </cell>
          <cell r="F5201">
            <v>0</v>
          </cell>
        </row>
        <row r="5202">
          <cell r="A5202" t="str">
            <v>61700-41001-00</v>
          </cell>
          <cell r="F5202">
            <v>37580.050000000003</v>
          </cell>
        </row>
        <row r="5203">
          <cell r="A5203" t="str">
            <v>61700-41002-00</v>
          </cell>
          <cell r="F5203">
            <v>11492.01</v>
          </cell>
        </row>
        <row r="5204">
          <cell r="A5204" t="str">
            <v>61700-41003-00</v>
          </cell>
          <cell r="F5204">
            <v>1849.23</v>
          </cell>
        </row>
        <row r="5205">
          <cell r="A5205" t="str">
            <v>61700-41004-00</v>
          </cell>
          <cell r="F5205">
            <v>9104.5499999999993</v>
          </cell>
        </row>
        <row r="5206">
          <cell r="A5206" t="str">
            <v>61700-41005-00</v>
          </cell>
          <cell r="F5206">
            <v>8030.79</v>
          </cell>
        </row>
        <row r="5207">
          <cell r="A5207" t="str">
            <v>61700-41009-00</v>
          </cell>
          <cell r="F5207">
            <v>6351.85</v>
          </cell>
        </row>
        <row r="5208">
          <cell r="A5208" t="str">
            <v>61700-41029-00</v>
          </cell>
          <cell r="F5208">
            <v>0</v>
          </cell>
        </row>
        <row r="5209">
          <cell r="A5209" t="str">
            <v>61700-41030-00</v>
          </cell>
          <cell r="F5209">
            <v>13848.77</v>
          </cell>
        </row>
        <row r="5210">
          <cell r="A5210" t="str">
            <v>61700-41031-00</v>
          </cell>
          <cell r="F5210">
            <v>5779.62</v>
          </cell>
        </row>
        <row r="5211">
          <cell r="A5211" t="str">
            <v>61700-41032-00</v>
          </cell>
          <cell r="F5211">
            <v>3861.76</v>
          </cell>
        </row>
        <row r="5212">
          <cell r="A5212" t="str">
            <v>61700-41041-00</v>
          </cell>
          <cell r="F5212">
            <v>0</v>
          </cell>
        </row>
        <row r="5213">
          <cell r="A5213" t="str">
            <v>61700-41049-00</v>
          </cell>
          <cell r="F5213">
            <v>0</v>
          </cell>
        </row>
        <row r="5214">
          <cell r="A5214" t="str">
            <v>61700-41052-00</v>
          </cell>
          <cell r="F5214">
            <v>0</v>
          </cell>
        </row>
        <row r="5215">
          <cell r="A5215" t="str">
            <v>61700-43001-00</v>
          </cell>
          <cell r="F5215">
            <v>292.5</v>
          </cell>
        </row>
        <row r="5216">
          <cell r="A5216" t="str">
            <v>61700-43002-00</v>
          </cell>
          <cell r="F5216">
            <v>11553.13</v>
          </cell>
        </row>
        <row r="5217">
          <cell r="A5217" t="str">
            <v>61700-43003-00</v>
          </cell>
          <cell r="F5217">
            <v>2947.79</v>
          </cell>
        </row>
        <row r="5218">
          <cell r="A5218" t="str">
            <v>61700-43005-00</v>
          </cell>
          <cell r="F5218">
            <v>0</v>
          </cell>
        </row>
        <row r="5219">
          <cell r="A5219" t="str">
            <v>61700-43009-00</v>
          </cell>
          <cell r="F5219">
            <v>5866.93</v>
          </cell>
        </row>
        <row r="5220">
          <cell r="A5220" t="str">
            <v>61700-43029-00</v>
          </cell>
          <cell r="F5220">
            <v>9211.01</v>
          </cell>
        </row>
        <row r="5221">
          <cell r="A5221" t="str">
            <v>61700-43030-00</v>
          </cell>
          <cell r="F5221">
            <v>11951.49</v>
          </cell>
        </row>
        <row r="5222">
          <cell r="A5222" t="str">
            <v>61700-43031-00</v>
          </cell>
          <cell r="F5222">
            <v>4288.83</v>
          </cell>
        </row>
        <row r="5223">
          <cell r="A5223" t="str">
            <v>61700-43032-00</v>
          </cell>
          <cell r="F5223">
            <v>3033.52</v>
          </cell>
        </row>
        <row r="5224">
          <cell r="A5224" t="str">
            <v>61700-43041-00</v>
          </cell>
          <cell r="F5224">
            <v>4942.7700000000004</v>
          </cell>
        </row>
        <row r="5225">
          <cell r="A5225" t="str">
            <v>61700-43052-00</v>
          </cell>
          <cell r="F5225">
            <v>0</v>
          </cell>
        </row>
        <row r="5226">
          <cell r="A5226" t="str">
            <v>61700-45001-00</v>
          </cell>
          <cell r="F5226">
            <v>1462.49</v>
          </cell>
        </row>
        <row r="5227">
          <cell r="A5227" t="str">
            <v>61700-45002-00</v>
          </cell>
          <cell r="F5227">
            <v>25593.48</v>
          </cell>
        </row>
        <row r="5228">
          <cell r="A5228" t="str">
            <v>61700-45003-00</v>
          </cell>
          <cell r="F5228">
            <v>0</v>
          </cell>
        </row>
        <row r="5229">
          <cell r="A5229" t="str">
            <v>61700-45005-00</v>
          </cell>
          <cell r="F5229">
            <v>0</v>
          </cell>
        </row>
        <row r="5230">
          <cell r="A5230" t="str">
            <v>61700-45009-00</v>
          </cell>
          <cell r="F5230">
            <v>0</v>
          </cell>
        </row>
        <row r="5231">
          <cell r="A5231" t="str">
            <v>61700-45029-00</v>
          </cell>
          <cell r="F5231">
            <v>76.849999999999994</v>
          </cell>
        </row>
        <row r="5232">
          <cell r="A5232" t="str">
            <v>61700-45030-00</v>
          </cell>
          <cell r="F5232">
            <v>4562.3100000000004</v>
          </cell>
        </row>
        <row r="5233">
          <cell r="A5233" t="str">
            <v>61700-45031-00</v>
          </cell>
          <cell r="F5233">
            <v>2631.74</v>
          </cell>
        </row>
        <row r="5234">
          <cell r="A5234" t="str">
            <v>61700-45032-00</v>
          </cell>
          <cell r="F5234">
            <v>261.33</v>
          </cell>
        </row>
        <row r="5235">
          <cell r="A5235" t="str">
            <v>61700-45052-00</v>
          </cell>
          <cell r="F5235">
            <v>0</v>
          </cell>
        </row>
        <row r="5236">
          <cell r="A5236" t="str">
            <v>61700-51001-00</v>
          </cell>
          <cell r="F5236">
            <v>15111.95</v>
          </cell>
        </row>
        <row r="5237">
          <cell r="A5237" t="str">
            <v>61700-51005-00</v>
          </cell>
          <cell r="F5237">
            <v>0</v>
          </cell>
        </row>
        <row r="5238">
          <cell r="A5238" t="str">
            <v>61700-53001-00</v>
          </cell>
          <cell r="F5238">
            <v>0</v>
          </cell>
        </row>
        <row r="5239">
          <cell r="A5239" t="str">
            <v>61700-61030-00</v>
          </cell>
          <cell r="F5239">
            <v>4562.3100000000004</v>
          </cell>
        </row>
        <row r="5240">
          <cell r="A5240" t="str">
            <v>61700-61031-00</v>
          </cell>
          <cell r="F5240">
            <v>3802.44</v>
          </cell>
        </row>
        <row r="5241">
          <cell r="A5241" t="str">
            <v>61700-62030-00</v>
          </cell>
          <cell r="F5241">
            <v>4562.3100000000004</v>
          </cell>
        </row>
        <row r="5242">
          <cell r="A5242" t="str">
            <v>61700-62032-00</v>
          </cell>
          <cell r="F5242">
            <v>0</v>
          </cell>
        </row>
        <row r="5243">
          <cell r="A5243" t="str">
            <v>61700-63030-00</v>
          </cell>
          <cell r="F5243">
            <v>11275.71</v>
          </cell>
        </row>
        <row r="5244">
          <cell r="A5244" t="str">
            <v>61700-63032-00</v>
          </cell>
          <cell r="F5244">
            <v>4802.59</v>
          </cell>
        </row>
        <row r="5245">
          <cell r="A5245" t="str">
            <v>61700-64032-00</v>
          </cell>
          <cell r="F5245">
            <v>4357.16</v>
          </cell>
        </row>
        <row r="5246">
          <cell r="A5246" t="str">
            <v>61700-81001-00</v>
          </cell>
          <cell r="F5246">
            <v>0</v>
          </cell>
        </row>
        <row r="5247">
          <cell r="A5247" t="str">
            <v>61700-81005-00</v>
          </cell>
          <cell r="F5247">
            <v>0</v>
          </cell>
        </row>
        <row r="5248">
          <cell r="A5248" t="str">
            <v>61700-83001-00</v>
          </cell>
          <cell r="F5248">
            <v>26521.64</v>
          </cell>
        </row>
        <row r="5249">
          <cell r="A5249" t="str">
            <v>61700-84001-00</v>
          </cell>
          <cell r="F5249">
            <v>0</v>
          </cell>
        </row>
        <row r="5250">
          <cell r="A5250" t="str">
            <v>61700-85001-00</v>
          </cell>
          <cell r="F5250">
            <v>0</v>
          </cell>
        </row>
        <row r="5251">
          <cell r="A5251" t="str">
            <v>61700-89001-00</v>
          </cell>
          <cell r="F5251">
            <v>0</v>
          </cell>
        </row>
        <row r="5252">
          <cell r="A5252" t="str">
            <v>61750-00000-00</v>
          </cell>
          <cell r="F5252">
            <v>0</v>
          </cell>
        </row>
        <row r="5253">
          <cell r="A5253" t="str">
            <v>61750-11001-00</v>
          </cell>
          <cell r="F5253">
            <v>-84372.41</v>
          </cell>
        </row>
        <row r="5254">
          <cell r="A5254" t="str">
            <v>61750-11005-00</v>
          </cell>
          <cell r="F5254">
            <v>0</v>
          </cell>
        </row>
        <row r="5255">
          <cell r="A5255" t="str">
            <v>61750-13006-00</v>
          </cell>
          <cell r="F5255">
            <v>0</v>
          </cell>
        </row>
        <row r="5256">
          <cell r="A5256" t="str">
            <v>61750-13007-00</v>
          </cell>
          <cell r="F5256">
            <v>0</v>
          </cell>
        </row>
        <row r="5257">
          <cell r="A5257" t="str">
            <v>61750-14001-00</v>
          </cell>
          <cell r="F5257">
            <v>11359.87</v>
          </cell>
        </row>
        <row r="5258">
          <cell r="A5258" t="str">
            <v>61750-14049-00</v>
          </cell>
          <cell r="F5258">
            <v>0</v>
          </cell>
        </row>
        <row r="5259">
          <cell r="A5259" t="str">
            <v>61750-15001-00</v>
          </cell>
          <cell r="F5259">
            <v>163666.92000000001</v>
          </cell>
        </row>
        <row r="5260">
          <cell r="A5260" t="str">
            <v>61750-15005-00</v>
          </cell>
          <cell r="F5260">
            <v>0</v>
          </cell>
        </row>
        <row r="5261">
          <cell r="A5261" t="str">
            <v>61750-31000-00</v>
          </cell>
          <cell r="F5261">
            <v>0</v>
          </cell>
        </row>
        <row r="5262">
          <cell r="A5262" t="str">
            <v>61750-31001-00</v>
          </cell>
          <cell r="F5262">
            <v>40</v>
          </cell>
        </row>
        <row r="5263">
          <cell r="A5263" t="str">
            <v>61750-31010-00</v>
          </cell>
          <cell r="F5263">
            <v>0</v>
          </cell>
        </row>
        <row r="5264">
          <cell r="A5264" t="str">
            <v>61750-31011-00</v>
          </cell>
          <cell r="F5264">
            <v>5209</v>
          </cell>
        </row>
        <row r="5265">
          <cell r="A5265" t="str">
            <v>61750-31012-00</v>
          </cell>
          <cell r="F5265">
            <v>0</v>
          </cell>
        </row>
        <row r="5266">
          <cell r="A5266" t="str">
            <v>61750-31013-00</v>
          </cell>
          <cell r="F5266">
            <v>0</v>
          </cell>
        </row>
        <row r="5267">
          <cell r="A5267" t="str">
            <v>61750-31014-00</v>
          </cell>
          <cell r="F5267">
            <v>0</v>
          </cell>
        </row>
        <row r="5268">
          <cell r="A5268" t="str">
            <v>61750-31015-00</v>
          </cell>
          <cell r="F5268">
            <v>0</v>
          </cell>
        </row>
        <row r="5269">
          <cell r="A5269" t="str">
            <v>61750-31016-00</v>
          </cell>
          <cell r="F5269">
            <v>0</v>
          </cell>
        </row>
        <row r="5270">
          <cell r="A5270" t="str">
            <v>61750-31017-00</v>
          </cell>
          <cell r="F5270">
            <v>0</v>
          </cell>
        </row>
        <row r="5271">
          <cell r="A5271" t="str">
            <v>61750-31018-00</v>
          </cell>
          <cell r="F5271">
            <v>897</v>
          </cell>
        </row>
        <row r="5272">
          <cell r="A5272" t="str">
            <v>61750-31019-00</v>
          </cell>
          <cell r="F5272">
            <v>819</v>
          </cell>
        </row>
        <row r="5273">
          <cell r="A5273" t="str">
            <v>61750-31020-00</v>
          </cell>
          <cell r="F5273">
            <v>0</v>
          </cell>
        </row>
        <row r="5274">
          <cell r="A5274" t="str">
            <v>61750-31021-00</v>
          </cell>
          <cell r="F5274">
            <v>0</v>
          </cell>
        </row>
        <row r="5275">
          <cell r="A5275" t="str">
            <v>61750-31022-00</v>
          </cell>
          <cell r="F5275">
            <v>1152</v>
          </cell>
        </row>
        <row r="5276">
          <cell r="A5276" t="str">
            <v>61750-31023-00</v>
          </cell>
          <cell r="F5276">
            <v>0</v>
          </cell>
        </row>
        <row r="5277">
          <cell r="A5277" t="str">
            <v>61750-31024-00</v>
          </cell>
          <cell r="F5277">
            <v>0</v>
          </cell>
        </row>
        <row r="5278">
          <cell r="A5278" t="str">
            <v>61750-31025-00</v>
          </cell>
          <cell r="F5278">
            <v>0</v>
          </cell>
        </row>
        <row r="5279">
          <cell r="A5279" t="str">
            <v>61750-31026-00</v>
          </cell>
          <cell r="F5279">
            <v>0</v>
          </cell>
        </row>
        <row r="5280">
          <cell r="A5280" t="str">
            <v>61750-31027-00</v>
          </cell>
          <cell r="F5280">
            <v>0</v>
          </cell>
        </row>
        <row r="5281">
          <cell r="A5281" t="str">
            <v>61750-31028-00</v>
          </cell>
          <cell r="F5281">
            <v>1225</v>
          </cell>
        </row>
        <row r="5282">
          <cell r="A5282" t="str">
            <v>61750-31029-00</v>
          </cell>
          <cell r="F5282">
            <v>0</v>
          </cell>
        </row>
        <row r="5283">
          <cell r="A5283" t="str">
            <v>61750-31030-00</v>
          </cell>
          <cell r="F5283">
            <v>255.76</v>
          </cell>
        </row>
        <row r="5284">
          <cell r="A5284" t="str">
            <v>61750-31031-00</v>
          </cell>
          <cell r="F5284">
            <v>0</v>
          </cell>
        </row>
        <row r="5285">
          <cell r="A5285" t="str">
            <v>61750-31032-00</v>
          </cell>
          <cell r="F5285">
            <v>18122.849999999999</v>
          </cell>
        </row>
        <row r="5286">
          <cell r="A5286" t="str">
            <v>61750-31033-00</v>
          </cell>
          <cell r="F5286">
            <v>405.75</v>
          </cell>
        </row>
        <row r="5287">
          <cell r="A5287" t="str">
            <v>61750-31034-00</v>
          </cell>
          <cell r="F5287">
            <v>0</v>
          </cell>
        </row>
        <row r="5288">
          <cell r="A5288" t="str">
            <v>61750-31035-00</v>
          </cell>
          <cell r="F5288">
            <v>0</v>
          </cell>
        </row>
        <row r="5289">
          <cell r="A5289" t="str">
            <v>61750-31036-00</v>
          </cell>
          <cell r="F5289">
            <v>0</v>
          </cell>
        </row>
        <row r="5290">
          <cell r="A5290" t="str">
            <v>61750-31037-00</v>
          </cell>
          <cell r="F5290">
            <v>0</v>
          </cell>
        </row>
        <row r="5291">
          <cell r="A5291" t="str">
            <v>61750-31038-00</v>
          </cell>
          <cell r="F5291">
            <v>0</v>
          </cell>
        </row>
        <row r="5292">
          <cell r="A5292" t="str">
            <v>61750-31039-00</v>
          </cell>
          <cell r="F5292">
            <v>0</v>
          </cell>
        </row>
        <row r="5293">
          <cell r="A5293" t="str">
            <v>61750-31040-00</v>
          </cell>
          <cell r="F5293">
            <v>0</v>
          </cell>
        </row>
        <row r="5294">
          <cell r="A5294" t="str">
            <v>61750-31041-00</v>
          </cell>
          <cell r="F5294">
            <v>1139</v>
          </cell>
        </row>
        <row r="5295">
          <cell r="A5295" t="str">
            <v>61750-31042-00</v>
          </cell>
          <cell r="F5295">
            <v>1148.32</v>
          </cell>
        </row>
        <row r="5296">
          <cell r="A5296" t="str">
            <v>61750-31043-00</v>
          </cell>
          <cell r="F5296">
            <v>467.76</v>
          </cell>
        </row>
        <row r="5297">
          <cell r="A5297" t="str">
            <v>61750-31044-00</v>
          </cell>
          <cell r="F5297">
            <v>0</v>
          </cell>
        </row>
        <row r="5298">
          <cell r="A5298" t="str">
            <v>61750-31045-00</v>
          </cell>
          <cell r="F5298">
            <v>0</v>
          </cell>
        </row>
        <row r="5299">
          <cell r="A5299" t="str">
            <v>61750-31046-00</v>
          </cell>
          <cell r="F5299">
            <v>385.76</v>
          </cell>
        </row>
        <row r="5300">
          <cell r="A5300" t="str">
            <v>61750-31047-00</v>
          </cell>
          <cell r="F5300">
            <v>0</v>
          </cell>
        </row>
        <row r="5301">
          <cell r="A5301" t="str">
            <v>61750-31048-00</v>
          </cell>
          <cell r="F5301">
            <v>141.76</v>
          </cell>
        </row>
        <row r="5302">
          <cell r="A5302" t="str">
            <v>61750-31049-00</v>
          </cell>
          <cell r="F5302">
            <v>0</v>
          </cell>
        </row>
        <row r="5303">
          <cell r="A5303" t="str">
            <v>61750-31050-00</v>
          </cell>
          <cell r="F5303">
            <v>0</v>
          </cell>
        </row>
        <row r="5304">
          <cell r="A5304" t="str">
            <v>61750-31051-00</v>
          </cell>
          <cell r="F5304">
            <v>0</v>
          </cell>
        </row>
        <row r="5305">
          <cell r="A5305" t="str">
            <v>61750-31053-00</v>
          </cell>
          <cell r="F5305">
            <v>532.11</v>
          </cell>
        </row>
        <row r="5306">
          <cell r="A5306" t="str">
            <v>61750-31054-00</v>
          </cell>
          <cell r="F5306">
            <v>23076.44</v>
          </cell>
        </row>
        <row r="5307">
          <cell r="A5307" t="str">
            <v>61750-31055-00</v>
          </cell>
          <cell r="F5307">
            <v>467.76</v>
          </cell>
        </row>
        <row r="5308">
          <cell r="A5308" t="str">
            <v>61750-31056-00</v>
          </cell>
          <cell r="F5308">
            <v>0</v>
          </cell>
        </row>
        <row r="5309">
          <cell r="A5309" t="str">
            <v>61750-31057-00</v>
          </cell>
          <cell r="F5309">
            <v>0</v>
          </cell>
        </row>
        <row r="5310">
          <cell r="A5310" t="str">
            <v>61750-31058-00</v>
          </cell>
          <cell r="F5310">
            <v>0</v>
          </cell>
        </row>
        <row r="5311">
          <cell r="A5311" t="str">
            <v>61750-31059-00</v>
          </cell>
          <cell r="F5311">
            <v>0</v>
          </cell>
        </row>
        <row r="5312">
          <cell r="A5312" t="str">
            <v>61750-31060-00</v>
          </cell>
          <cell r="F5312">
            <v>0</v>
          </cell>
        </row>
        <row r="5313">
          <cell r="A5313" t="str">
            <v>61750-31061-00</v>
          </cell>
          <cell r="F5313">
            <v>0</v>
          </cell>
        </row>
        <row r="5314">
          <cell r="A5314" t="str">
            <v>61750-31062-00</v>
          </cell>
          <cell r="F5314">
            <v>0</v>
          </cell>
        </row>
        <row r="5315">
          <cell r="A5315" t="str">
            <v>61750-31063-00</v>
          </cell>
          <cell r="F5315">
            <v>0</v>
          </cell>
        </row>
        <row r="5316">
          <cell r="A5316" t="str">
            <v>61750-31064-00</v>
          </cell>
          <cell r="F5316">
            <v>0</v>
          </cell>
        </row>
        <row r="5317">
          <cell r="A5317" t="str">
            <v>61750-31065-00</v>
          </cell>
          <cell r="F5317">
            <v>1364</v>
          </cell>
        </row>
        <row r="5318">
          <cell r="A5318" t="str">
            <v>61750-31066-00</v>
          </cell>
          <cell r="F5318">
            <v>0</v>
          </cell>
        </row>
        <row r="5319">
          <cell r="A5319" t="str">
            <v>61750-31067-00</v>
          </cell>
          <cell r="F5319">
            <v>790</v>
          </cell>
        </row>
        <row r="5320">
          <cell r="A5320" t="str">
            <v>61750-31068-00</v>
          </cell>
          <cell r="F5320">
            <v>1572</v>
          </cell>
        </row>
        <row r="5321">
          <cell r="A5321" t="str">
            <v>61750-31069-00</v>
          </cell>
          <cell r="F5321">
            <v>640</v>
          </cell>
        </row>
        <row r="5322">
          <cell r="A5322" t="str">
            <v>61750-31070-00</v>
          </cell>
          <cell r="F5322">
            <v>324</v>
          </cell>
        </row>
        <row r="5323">
          <cell r="A5323" t="str">
            <v>61750-31071-00</v>
          </cell>
          <cell r="F5323">
            <v>0</v>
          </cell>
        </row>
        <row r="5324">
          <cell r="A5324" t="str">
            <v>61750-31072-00</v>
          </cell>
          <cell r="F5324">
            <v>0</v>
          </cell>
        </row>
        <row r="5325">
          <cell r="A5325" t="str">
            <v>61750-31073-00</v>
          </cell>
          <cell r="F5325">
            <v>0</v>
          </cell>
        </row>
        <row r="5326">
          <cell r="A5326" t="str">
            <v>61750-31074-00</v>
          </cell>
          <cell r="F5326">
            <v>0</v>
          </cell>
        </row>
        <row r="5327">
          <cell r="A5327" t="str">
            <v>61750-31075-00</v>
          </cell>
          <cell r="F5327">
            <v>0</v>
          </cell>
        </row>
        <row r="5328">
          <cell r="A5328" t="str">
            <v>61750-31076-00</v>
          </cell>
          <cell r="F5328">
            <v>0</v>
          </cell>
        </row>
        <row r="5329">
          <cell r="A5329" t="str">
            <v>61750-31077-00</v>
          </cell>
          <cell r="F5329">
            <v>4324.71</v>
          </cell>
        </row>
        <row r="5330">
          <cell r="A5330" t="str">
            <v>61750-31078-00</v>
          </cell>
          <cell r="F5330">
            <v>0</v>
          </cell>
        </row>
        <row r="5331">
          <cell r="A5331" t="str">
            <v>61750-41001-00</v>
          </cell>
          <cell r="F5331">
            <v>2267.6799999999998</v>
          </cell>
        </row>
        <row r="5332">
          <cell r="A5332" t="str">
            <v>61750-41002-00</v>
          </cell>
          <cell r="F5332">
            <v>12517.61</v>
          </cell>
        </row>
        <row r="5333">
          <cell r="A5333" t="str">
            <v>61750-41003-00</v>
          </cell>
          <cell r="F5333">
            <v>7682.29</v>
          </cell>
        </row>
        <row r="5334">
          <cell r="A5334" t="str">
            <v>61750-41004-00</v>
          </cell>
          <cell r="F5334">
            <v>617</v>
          </cell>
        </row>
        <row r="5335">
          <cell r="A5335" t="str">
            <v>61750-41005-00</v>
          </cell>
          <cell r="F5335">
            <v>2371</v>
          </cell>
        </row>
        <row r="5336">
          <cell r="A5336" t="str">
            <v>61750-41009-00</v>
          </cell>
          <cell r="F5336">
            <v>1760</v>
          </cell>
        </row>
        <row r="5337">
          <cell r="A5337" t="str">
            <v>61750-41029-00</v>
          </cell>
          <cell r="F5337">
            <v>1522.76</v>
          </cell>
        </row>
        <row r="5338">
          <cell r="A5338" t="str">
            <v>61750-41030-00</v>
          </cell>
          <cell r="F5338">
            <v>242</v>
          </cell>
        </row>
        <row r="5339">
          <cell r="A5339" t="str">
            <v>61750-41031-00</v>
          </cell>
          <cell r="F5339">
            <v>520</v>
          </cell>
        </row>
        <row r="5340">
          <cell r="A5340" t="str">
            <v>61750-41032-00</v>
          </cell>
          <cell r="F5340">
            <v>0</v>
          </cell>
        </row>
        <row r="5341">
          <cell r="A5341" t="str">
            <v>61750-41041-00</v>
          </cell>
          <cell r="F5341">
            <v>0</v>
          </cell>
        </row>
        <row r="5342">
          <cell r="A5342" t="str">
            <v>61750-41049-00</v>
          </cell>
          <cell r="F5342">
            <v>0</v>
          </cell>
        </row>
        <row r="5343">
          <cell r="A5343" t="str">
            <v>61750-41052-00</v>
          </cell>
          <cell r="F5343">
            <v>0</v>
          </cell>
        </row>
        <row r="5344">
          <cell r="A5344" t="str">
            <v>61750-43001-00</v>
          </cell>
          <cell r="F5344">
            <v>2761</v>
          </cell>
        </row>
        <row r="5345">
          <cell r="A5345" t="str">
            <v>61750-43002-00</v>
          </cell>
          <cell r="F5345">
            <v>11308.4</v>
          </cell>
        </row>
        <row r="5346">
          <cell r="A5346" t="str">
            <v>61750-43003-00</v>
          </cell>
          <cell r="F5346">
            <v>8812.24</v>
          </cell>
        </row>
        <row r="5347">
          <cell r="A5347" t="str">
            <v>61750-43005-00</v>
          </cell>
          <cell r="F5347">
            <v>532.67999999999995</v>
          </cell>
        </row>
        <row r="5348">
          <cell r="A5348" t="str">
            <v>61750-43009-00</v>
          </cell>
          <cell r="F5348">
            <v>532.67999999999995</v>
          </cell>
        </row>
        <row r="5349">
          <cell r="A5349" t="str">
            <v>61750-43029-00</v>
          </cell>
          <cell r="F5349">
            <v>1231.69</v>
          </cell>
        </row>
        <row r="5350">
          <cell r="A5350" t="str">
            <v>61750-43030-00</v>
          </cell>
          <cell r="F5350">
            <v>3298.36</v>
          </cell>
        </row>
        <row r="5351">
          <cell r="A5351" t="str">
            <v>61750-43031-00</v>
          </cell>
          <cell r="F5351">
            <v>60</v>
          </cell>
        </row>
        <row r="5352">
          <cell r="A5352" t="str">
            <v>61750-43032-00</v>
          </cell>
          <cell r="F5352">
            <v>1291.68</v>
          </cell>
        </row>
        <row r="5353">
          <cell r="A5353" t="str">
            <v>61750-43041-00</v>
          </cell>
          <cell r="F5353">
            <v>1036</v>
          </cell>
        </row>
        <row r="5354">
          <cell r="A5354" t="str">
            <v>61750-43052-00</v>
          </cell>
          <cell r="F5354">
            <v>0</v>
          </cell>
        </row>
        <row r="5355">
          <cell r="A5355" t="str">
            <v>61750-45001-00</v>
          </cell>
          <cell r="F5355">
            <v>196.21</v>
          </cell>
        </row>
        <row r="5356">
          <cell r="A5356" t="str">
            <v>61750-45002-00</v>
          </cell>
          <cell r="F5356">
            <v>67557.740000000005</v>
          </cell>
        </row>
        <row r="5357">
          <cell r="A5357" t="str">
            <v>61750-45003-00</v>
          </cell>
          <cell r="F5357">
            <v>0</v>
          </cell>
        </row>
        <row r="5358">
          <cell r="A5358" t="str">
            <v>61750-45005-00</v>
          </cell>
          <cell r="F5358">
            <v>560</v>
          </cell>
        </row>
        <row r="5359">
          <cell r="A5359" t="str">
            <v>61750-45009-00</v>
          </cell>
          <cell r="F5359">
            <v>0</v>
          </cell>
        </row>
        <row r="5360">
          <cell r="A5360" t="str">
            <v>61750-45029-00</v>
          </cell>
          <cell r="F5360">
            <v>14842.09</v>
          </cell>
        </row>
        <row r="5361">
          <cell r="A5361" t="str">
            <v>61750-45030-00</v>
          </cell>
          <cell r="F5361">
            <v>25</v>
          </cell>
        </row>
        <row r="5362">
          <cell r="A5362" t="str">
            <v>61750-45031-00</v>
          </cell>
          <cell r="F5362">
            <v>0</v>
          </cell>
        </row>
        <row r="5363">
          <cell r="A5363" t="str">
            <v>61750-45032-00</v>
          </cell>
          <cell r="F5363">
            <v>0</v>
          </cell>
        </row>
        <row r="5364">
          <cell r="A5364" t="str">
            <v>61750-45052-00</v>
          </cell>
          <cell r="F5364">
            <v>41</v>
          </cell>
        </row>
        <row r="5365">
          <cell r="A5365" t="str">
            <v>61750-51001-00</v>
          </cell>
          <cell r="F5365">
            <v>67360.81</v>
          </cell>
        </row>
        <row r="5366">
          <cell r="A5366" t="str">
            <v>61750-51005-00</v>
          </cell>
          <cell r="F5366">
            <v>0</v>
          </cell>
        </row>
        <row r="5367">
          <cell r="A5367" t="str">
            <v>61750-53001-00</v>
          </cell>
          <cell r="F5367">
            <v>0</v>
          </cell>
        </row>
        <row r="5368">
          <cell r="A5368" t="str">
            <v>61750-61030-00</v>
          </cell>
          <cell r="F5368">
            <v>0</v>
          </cell>
        </row>
        <row r="5369">
          <cell r="A5369" t="str">
            <v>61750-61031-00</v>
          </cell>
          <cell r="F5369">
            <v>100</v>
          </cell>
        </row>
        <row r="5370">
          <cell r="A5370" t="str">
            <v>61750-62030-00</v>
          </cell>
          <cell r="F5370">
            <v>722.81</v>
          </cell>
        </row>
        <row r="5371">
          <cell r="A5371" t="str">
            <v>61750-62032-00</v>
          </cell>
          <cell r="F5371">
            <v>30</v>
          </cell>
        </row>
        <row r="5372">
          <cell r="A5372" t="str">
            <v>61750-63030-00</v>
          </cell>
          <cell r="F5372">
            <v>130</v>
          </cell>
        </row>
        <row r="5373">
          <cell r="A5373" t="str">
            <v>61750-63032-00</v>
          </cell>
          <cell r="F5373">
            <v>100</v>
          </cell>
        </row>
        <row r="5374">
          <cell r="A5374" t="str">
            <v>61750-64032-00</v>
          </cell>
          <cell r="F5374">
            <v>0</v>
          </cell>
        </row>
        <row r="5375">
          <cell r="A5375" t="str">
            <v>61750-81001-00</v>
          </cell>
          <cell r="F5375">
            <v>829</v>
          </cell>
        </row>
        <row r="5376">
          <cell r="A5376" t="str">
            <v>61750-81005-00</v>
          </cell>
          <cell r="F5376">
            <v>0</v>
          </cell>
        </row>
        <row r="5377">
          <cell r="A5377" t="str">
            <v>61750-83001-00</v>
          </cell>
          <cell r="F5377">
            <v>31017.09</v>
          </cell>
        </row>
        <row r="5378">
          <cell r="A5378" t="str">
            <v>61750-84001-00</v>
          </cell>
          <cell r="F5378">
            <v>0</v>
          </cell>
        </row>
        <row r="5379">
          <cell r="A5379" t="str">
            <v>61750-85001-00</v>
          </cell>
          <cell r="F5379">
            <v>0</v>
          </cell>
        </row>
        <row r="5380">
          <cell r="A5380" t="str">
            <v>61750-89001-00</v>
          </cell>
          <cell r="F5380">
            <v>0</v>
          </cell>
        </row>
        <row r="5381">
          <cell r="A5381" t="str">
            <v>61800-00000-00</v>
          </cell>
          <cell r="F5381">
            <v>0</v>
          </cell>
        </row>
        <row r="5382">
          <cell r="A5382" t="str">
            <v>61800-11001-00</v>
          </cell>
          <cell r="F5382">
            <v>3600</v>
          </cell>
        </row>
        <row r="5383">
          <cell r="A5383" t="str">
            <v>61800-11005-00</v>
          </cell>
          <cell r="F5383">
            <v>0</v>
          </cell>
        </row>
        <row r="5384">
          <cell r="A5384" t="str">
            <v>61800-13006-00</v>
          </cell>
          <cell r="F5384">
            <v>2813.76</v>
          </cell>
        </row>
        <row r="5385">
          <cell r="A5385" t="str">
            <v>61800-13007-00</v>
          </cell>
          <cell r="F5385">
            <v>0</v>
          </cell>
        </row>
        <row r="5386">
          <cell r="A5386" t="str">
            <v>61800-15001-00</v>
          </cell>
          <cell r="F5386">
            <v>14279.8</v>
          </cell>
        </row>
        <row r="5387">
          <cell r="A5387" t="str">
            <v>61800-15005-00</v>
          </cell>
          <cell r="F5387">
            <v>0</v>
          </cell>
        </row>
        <row r="5388">
          <cell r="A5388" t="str">
            <v>61800-31000-00</v>
          </cell>
          <cell r="F5388">
            <v>0</v>
          </cell>
        </row>
        <row r="5389">
          <cell r="A5389" t="str">
            <v>61800-31001-00</v>
          </cell>
          <cell r="F5389">
            <v>0</v>
          </cell>
        </row>
        <row r="5390">
          <cell r="A5390" t="str">
            <v>61800-31010-00</v>
          </cell>
          <cell r="F5390">
            <v>0</v>
          </cell>
        </row>
        <row r="5391">
          <cell r="A5391" t="str">
            <v>61800-31011-00</v>
          </cell>
          <cell r="F5391">
            <v>0</v>
          </cell>
        </row>
        <row r="5392">
          <cell r="A5392" t="str">
            <v>61800-31012-00</v>
          </cell>
          <cell r="F5392">
            <v>0</v>
          </cell>
        </row>
        <row r="5393">
          <cell r="A5393" t="str">
            <v>61800-31013-00</v>
          </cell>
          <cell r="F5393">
            <v>0</v>
          </cell>
        </row>
        <row r="5394">
          <cell r="A5394" t="str">
            <v>61800-31014-00</v>
          </cell>
          <cell r="F5394">
            <v>0</v>
          </cell>
        </row>
        <row r="5395">
          <cell r="A5395" t="str">
            <v>61800-31015-00</v>
          </cell>
          <cell r="F5395">
            <v>0</v>
          </cell>
        </row>
        <row r="5396">
          <cell r="A5396" t="str">
            <v>61800-31016-00</v>
          </cell>
          <cell r="F5396">
            <v>0</v>
          </cell>
        </row>
        <row r="5397">
          <cell r="A5397" t="str">
            <v>61800-31017-00</v>
          </cell>
          <cell r="F5397">
            <v>0</v>
          </cell>
        </row>
        <row r="5398">
          <cell r="A5398" t="str">
            <v>61800-31018-00</v>
          </cell>
          <cell r="F5398">
            <v>0</v>
          </cell>
        </row>
        <row r="5399">
          <cell r="A5399" t="str">
            <v>61800-31019-00</v>
          </cell>
          <cell r="F5399">
            <v>0</v>
          </cell>
        </row>
        <row r="5400">
          <cell r="A5400" t="str">
            <v>61800-31020-00</v>
          </cell>
          <cell r="F5400">
            <v>0</v>
          </cell>
        </row>
        <row r="5401">
          <cell r="A5401" t="str">
            <v>61800-31021-00</v>
          </cell>
          <cell r="F5401">
            <v>0</v>
          </cell>
        </row>
        <row r="5402">
          <cell r="A5402" t="str">
            <v>61800-31022-00</v>
          </cell>
          <cell r="F5402">
            <v>0</v>
          </cell>
        </row>
        <row r="5403">
          <cell r="A5403" t="str">
            <v>61800-31023-00</v>
          </cell>
          <cell r="F5403">
            <v>0</v>
          </cell>
        </row>
        <row r="5404">
          <cell r="A5404" t="str">
            <v>61800-31024-00</v>
          </cell>
          <cell r="F5404">
            <v>0</v>
          </cell>
        </row>
        <row r="5405">
          <cell r="A5405" t="str">
            <v>61800-31025-00</v>
          </cell>
          <cell r="F5405">
            <v>0</v>
          </cell>
        </row>
        <row r="5406">
          <cell r="A5406" t="str">
            <v>61800-31026-00</v>
          </cell>
          <cell r="F5406">
            <v>0</v>
          </cell>
        </row>
        <row r="5407">
          <cell r="A5407" t="str">
            <v>61800-31027-00</v>
          </cell>
          <cell r="F5407">
            <v>0</v>
          </cell>
        </row>
        <row r="5408">
          <cell r="A5408" t="str">
            <v>61800-31028-00</v>
          </cell>
          <cell r="F5408">
            <v>0</v>
          </cell>
        </row>
        <row r="5409">
          <cell r="A5409" t="str">
            <v>61800-31029-00</v>
          </cell>
          <cell r="F5409">
            <v>0</v>
          </cell>
        </row>
        <row r="5410">
          <cell r="A5410" t="str">
            <v>61800-31030-00</v>
          </cell>
          <cell r="F5410">
            <v>0</v>
          </cell>
        </row>
        <row r="5411">
          <cell r="A5411" t="str">
            <v>61800-31031-00</v>
          </cell>
          <cell r="F5411">
            <v>0</v>
          </cell>
        </row>
        <row r="5412">
          <cell r="A5412" t="str">
            <v>61800-31032-00</v>
          </cell>
          <cell r="F5412">
            <v>0</v>
          </cell>
        </row>
        <row r="5413">
          <cell r="A5413" t="str">
            <v>61800-31033-00</v>
          </cell>
          <cell r="F5413">
            <v>0</v>
          </cell>
        </row>
        <row r="5414">
          <cell r="A5414" t="str">
            <v>61800-31034-00</v>
          </cell>
          <cell r="F5414">
            <v>0</v>
          </cell>
        </row>
        <row r="5415">
          <cell r="A5415" t="str">
            <v>61800-31035-00</v>
          </cell>
          <cell r="F5415">
            <v>0</v>
          </cell>
        </row>
        <row r="5416">
          <cell r="A5416" t="str">
            <v>61800-31036-00</v>
          </cell>
          <cell r="F5416">
            <v>0</v>
          </cell>
        </row>
        <row r="5417">
          <cell r="A5417" t="str">
            <v>61800-31037-00</v>
          </cell>
          <cell r="F5417">
            <v>0</v>
          </cell>
        </row>
        <row r="5418">
          <cell r="A5418" t="str">
            <v>61800-31038-00</v>
          </cell>
          <cell r="F5418">
            <v>0</v>
          </cell>
        </row>
        <row r="5419">
          <cell r="A5419" t="str">
            <v>61800-31039-00</v>
          </cell>
          <cell r="F5419">
            <v>0</v>
          </cell>
        </row>
        <row r="5420">
          <cell r="A5420" t="str">
            <v>61800-31040-00</v>
          </cell>
          <cell r="F5420">
            <v>0</v>
          </cell>
        </row>
        <row r="5421">
          <cell r="A5421" t="str">
            <v>61800-31041-00</v>
          </cell>
          <cell r="F5421">
            <v>0</v>
          </cell>
        </row>
        <row r="5422">
          <cell r="A5422" t="str">
            <v>61800-31042-00</v>
          </cell>
          <cell r="F5422">
            <v>0</v>
          </cell>
        </row>
        <row r="5423">
          <cell r="A5423" t="str">
            <v>61800-31043-00</v>
          </cell>
          <cell r="F5423">
            <v>0</v>
          </cell>
        </row>
        <row r="5424">
          <cell r="A5424" t="str">
            <v>61800-31044-00</v>
          </cell>
          <cell r="F5424">
            <v>0</v>
          </cell>
        </row>
        <row r="5425">
          <cell r="A5425" t="str">
            <v>61800-31045-00</v>
          </cell>
          <cell r="F5425">
            <v>0</v>
          </cell>
        </row>
        <row r="5426">
          <cell r="A5426" t="str">
            <v>61800-31046-00</v>
          </cell>
          <cell r="F5426">
            <v>0</v>
          </cell>
        </row>
        <row r="5427">
          <cell r="A5427" t="str">
            <v>61800-31047-00</v>
          </cell>
          <cell r="F5427">
            <v>0</v>
          </cell>
        </row>
        <row r="5428">
          <cell r="A5428" t="str">
            <v>61800-31048-00</v>
          </cell>
          <cell r="F5428">
            <v>0</v>
          </cell>
        </row>
        <row r="5429">
          <cell r="A5429" t="str">
            <v>61800-31049-00</v>
          </cell>
          <cell r="F5429">
            <v>0</v>
          </cell>
        </row>
        <row r="5430">
          <cell r="A5430" t="str">
            <v>61800-31050-00</v>
          </cell>
          <cell r="F5430">
            <v>0</v>
          </cell>
        </row>
        <row r="5431">
          <cell r="A5431" t="str">
            <v>61800-31051-00</v>
          </cell>
          <cell r="F5431">
            <v>0</v>
          </cell>
        </row>
        <row r="5432">
          <cell r="A5432" t="str">
            <v>61800-31053-00</v>
          </cell>
          <cell r="F5432">
            <v>0</v>
          </cell>
        </row>
        <row r="5433">
          <cell r="A5433" t="str">
            <v>61800-31054-00</v>
          </cell>
          <cell r="F5433">
            <v>0</v>
          </cell>
        </row>
        <row r="5434">
          <cell r="A5434" t="str">
            <v>61800-31055-00</v>
          </cell>
          <cell r="F5434">
            <v>0</v>
          </cell>
        </row>
        <row r="5435">
          <cell r="A5435" t="str">
            <v>61800-31056-00</v>
          </cell>
          <cell r="F5435">
            <v>0</v>
          </cell>
        </row>
        <row r="5436">
          <cell r="A5436" t="str">
            <v>61800-31057-00</v>
          </cell>
          <cell r="F5436">
            <v>0</v>
          </cell>
        </row>
        <row r="5437">
          <cell r="A5437" t="str">
            <v>61800-31058-00</v>
          </cell>
          <cell r="F5437">
            <v>0</v>
          </cell>
        </row>
        <row r="5438">
          <cell r="A5438" t="str">
            <v>61800-31059-00</v>
          </cell>
          <cell r="F5438">
            <v>0</v>
          </cell>
        </row>
        <row r="5439">
          <cell r="A5439" t="str">
            <v>61800-31060-00</v>
          </cell>
          <cell r="F5439">
            <v>0</v>
          </cell>
        </row>
        <row r="5440">
          <cell r="A5440" t="str">
            <v>61800-31061-00</v>
          </cell>
          <cell r="F5440">
            <v>0</v>
          </cell>
        </row>
        <row r="5441">
          <cell r="A5441" t="str">
            <v>61800-31062-00</v>
          </cell>
          <cell r="F5441">
            <v>0</v>
          </cell>
        </row>
        <row r="5442">
          <cell r="A5442" t="str">
            <v>61800-31063-00</v>
          </cell>
          <cell r="F5442">
            <v>0</v>
          </cell>
        </row>
        <row r="5443">
          <cell r="A5443" t="str">
            <v>61800-31064-00</v>
          </cell>
          <cell r="F5443">
            <v>0</v>
          </cell>
        </row>
        <row r="5444">
          <cell r="A5444" t="str">
            <v>61800-31065-00</v>
          </cell>
          <cell r="F5444">
            <v>0</v>
          </cell>
        </row>
        <row r="5445">
          <cell r="A5445" t="str">
            <v>61800-31066-00</v>
          </cell>
          <cell r="F5445">
            <v>0</v>
          </cell>
        </row>
        <row r="5446">
          <cell r="A5446" t="str">
            <v>61800-31067-00</v>
          </cell>
          <cell r="F5446">
            <v>0</v>
          </cell>
        </row>
        <row r="5447">
          <cell r="A5447" t="str">
            <v>61800-31068-00</v>
          </cell>
          <cell r="F5447">
            <v>0</v>
          </cell>
        </row>
        <row r="5448">
          <cell r="A5448" t="str">
            <v>61800-31069-00</v>
          </cell>
          <cell r="F5448">
            <v>0</v>
          </cell>
        </row>
        <row r="5449">
          <cell r="A5449" t="str">
            <v>61800-31070-00</v>
          </cell>
          <cell r="F5449">
            <v>3050.06</v>
          </cell>
        </row>
        <row r="5450">
          <cell r="A5450" t="str">
            <v>61800-31071-00</v>
          </cell>
          <cell r="F5450">
            <v>0</v>
          </cell>
        </row>
        <row r="5451">
          <cell r="A5451" t="str">
            <v>61800-31072-00</v>
          </cell>
          <cell r="F5451">
            <v>0</v>
          </cell>
        </row>
        <row r="5452">
          <cell r="A5452" t="str">
            <v>61800-31073-00</v>
          </cell>
          <cell r="F5452">
            <v>0</v>
          </cell>
        </row>
        <row r="5453">
          <cell r="A5453" t="str">
            <v>61800-31074-00</v>
          </cell>
          <cell r="F5453">
            <v>0</v>
          </cell>
        </row>
        <row r="5454">
          <cell r="A5454" t="str">
            <v>61800-31075-00</v>
          </cell>
          <cell r="F5454">
            <v>0</v>
          </cell>
        </row>
        <row r="5455">
          <cell r="A5455" t="str">
            <v>61800-31076-00</v>
          </cell>
          <cell r="F5455">
            <v>0</v>
          </cell>
        </row>
        <row r="5456">
          <cell r="A5456" t="str">
            <v>61800-31077-00</v>
          </cell>
          <cell r="F5456">
            <v>0</v>
          </cell>
        </row>
        <row r="5457">
          <cell r="A5457" t="str">
            <v>61800-31078-00</v>
          </cell>
          <cell r="F5457">
            <v>0</v>
          </cell>
        </row>
        <row r="5458">
          <cell r="A5458" t="str">
            <v>61800-41001-00</v>
          </cell>
          <cell r="F5458">
            <v>13000</v>
          </cell>
        </row>
        <row r="5459">
          <cell r="A5459" t="str">
            <v>61800-41002-00</v>
          </cell>
          <cell r="F5459">
            <v>0</v>
          </cell>
        </row>
        <row r="5460">
          <cell r="A5460" t="str">
            <v>61800-41003-00</v>
          </cell>
          <cell r="F5460">
            <v>0</v>
          </cell>
        </row>
        <row r="5461">
          <cell r="A5461" t="str">
            <v>61800-41004-00</v>
          </cell>
          <cell r="F5461">
            <v>0</v>
          </cell>
        </row>
        <row r="5462">
          <cell r="A5462" t="str">
            <v>61800-41005-00</v>
          </cell>
          <cell r="F5462">
            <v>13856</v>
          </cell>
        </row>
        <row r="5463">
          <cell r="A5463" t="str">
            <v>61800-41009-00</v>
          </cell>
          <cell r="F5463">
            <v>0</v>
          </cell>
        </row>
        <row r="5464">
          <cell r="A5464" t="str">
            <v>61800-41029-00</v>
          </cell>
          <cell r="F5464">
            <v>0</v>
          </cell>
        </row>
        <row r="5465">
          <cell r="A5465" t="str">
            <v>61800-41030-00</v>
          </cell>
          <cell r="F5465">
            <v>0</v>
          </cell>
        </row>
        <row r="5466">
          <cell r="A5466" t="str">
            <v>61800-41031-00</v>
          </cell>
          <cell r="F5466">
            <v>0</v>
          </cell>
        </row>
        <row r="5467">
          <cell r="A5467" t="str">
            <v>61800-41032-00</v>
          </cell>
          <cell r="F5467">
            <v>0</v>
          </cell>
        </row>
        <row r="5468">
          <cell r="A5468" t="str">
            <v>61800-41041-00</v>
          </cell>
          <cell r="F5468">
            <v>0</v>
          </cell>
        </row>
        <row r="5469">
          <cell r="A5469" t="str">
            <v>61800-41049-00</v>
          </cell>
          <cell r="F5469">
            <v>4200</v>
          </cell>
        </row>
        <row r="5470">
          <cell r="A5470" t="str">
            <v>61800-41052-00</v>
          </cell>
          <cell r="F5470">
            <v>0</v>
          </cell>
        </row>
        <row r="5471">
          <cell r="A5471" t="str">
            <v>61800-43001-00</v>
          </cell>
          <cell r="F5471">
            <v>0</v>
          </cell>
        </row>
        <row r="5472">
          <cell r="A5472" t="str">
            <v>61800-43002-00</v>
          </cell>
          <cell r="F5472">
            <v>0</v>
          </cell>
        </row>
        <row r="5473">
          <cell r="A5473" t="str">
            <v>61800-43003-00</v>
          </cell>
          <cell r="F5473">
            <v>0</v>
          </cell>
        </row>
        <row r="5474">
          <cell r="A5474" t="str">
            <v>61800-43005-00</v>
          </cell>
          <cell r="F5474">
            <v>0</v>
          </cell>
        </row>
        <row r="5475">
          <cell r="A5475" t="str">
            <v>61800-43009-00</v>
          </cell>
          <cell r="F5475">
            <v>0</v>
          </cell>
        </row>
        <row r="5476">
          <cell r="A5476" t="str">
            <v>61800-43029-00</v>
          </cell>
          <cell r="F5476">
            <v>0</v>
          </cell>
        </row>
        <row r="5477">
          <cell r="A5477" t="str">
            <v>61800-43030-00</v>
          </cell>
          <cell r="F5477">
            <v>0</v>
          </cell>
        </row>
        <row r="5478">
          <cell r="A5478" t="str">
            <v>61800-43031-00</v>
          </cell>
          <cell r="F5478">
            <v>0</v>
          </cell>
        </row>
        <row r="5479">
          <cell r="A5479" t="str">
            <v>61800-43032-00</v>
          </cell>
          <cell r="F5479">
            <v>0</v>
          </cell>
        </row>
        <row r="5480">
          <cell r="A5480" t="str">
            <v>61800-43041-00</v>
          </cell>
          <cell r="F5480">
            <v>9100</v>
          </cell>
        </row>
        <row r="5481">
          <cell r="A5481" t="str">
            <v>61800-43052-00</v>
          </cell>
          <cell r="F5481">
            <v>0</v>
          </cell>
        </row>
        <row r="5482">
          <cell r="A5482" t="str">
            <v>61800-45001-00</v>
          </cell>
          <cell r="F5482">
            <v>0</v>
          </cell>
        </row>
        <row r="5483">
          <cell r="A5483" t="str">
            <v>61800-45002-00</v>
          </cell>
          <cell r="F5483">
            <v>5118.3</v>
          </cell>
        </row>
        <row r="5484">
          <cell r="A5484" t="str">
            <v>61800-45003-00</v>
          </cell>
          <cell r="F5484">
            <v>0</v>
          </cell>
        </row>
        <row r="5485">
          <cell r="A5485" t="str">
            <v>61800-45005-00</v>
          </cell>
          <cell r="F5485">
            <v>0</v>
          </cell>
        </row>
        <row r="5486">
          <cell r="A5486" t="str">
            <v>61800-45009-00</v>
          </cell>
          <cell r="F5486">
            <v>0</v>
          </cell>
        </row>
        <row r="5487">
          <cell r="A5487" t="str">
            <v>61800-45029-00</v>
          </cell>
          <cell r="F5487">
            <v>285</v>
          </cell>
        </row>
        <row r="5488">
          <cell r="A5488" t="str">
            <v>61800-45030-00</v>
          </cell>
          <cell r="F5488">
            <v>0</v>
          </cell>
        </row>
        <row r="5489">
          <cell r="A5489" t="str">
            <v>61800-45031-00</v>
          </cell>
          <cell r="F5489">
            <v>0</v>
          </cell>
        </row>
        <row r="5490">
          <cell r="A5490" t="str">
            <v>61800-45032-00</v>
          </cell>
          <cell r="F5490">
            <v>0</v>
          </cell>
        </row>
        <row r="5491">
          <cell r="A5491" t="str">
            <v>61800-45052-00</v>
          </cell>
          <cell r="F5491">
            <v>0</v>
          </cell>
        </row>
        <row r="5492">
          <cell r="A5492" t="str">
            <v>61800-51001-00</v>
          </cell>
          <cell r="F5492">
            <v>45516.95</v>
          </cell>
        </row>
        <row r="5493">
          <cell r="A5493" t="str">
            <v>61800-51005-00</v>
          </cell>
          <cell r="F5493">
            <v>0</v>
          </cell>
        </row>
        <row r="5494">
          <cell r="A5494" t="str">
            <v>61800-53001-00</v>
          </cell>
          <cell r="F5494">
            <v>0</v>
          </cell>
        </row>
        <row r="5495">
          <cell r="A5495" t="str">
            <v>61800-61030-00</v>
          </cell>
          <cell r="F5495">
            <v>0</v>
          </cell>
        </row>
        <row r="5496">
          <cell r="A5496" t="str">
            <v>61800-61031-00</v>
          </cell>
          <cell r="F5496">
            <v>0</v>
          </cell>
        </row>
        <row r="5497">
          <cell r="A5497" t="str">
            <v>61800-62030-00</v>
          </cell>
          <cell r="F5497">
            <v>0</v>
          </cell>
        </row>
        <row r="5498">
          <cell r="A5498" t="str">
            <v>61800-62032-00</v>
          </cell>
          <cell r="F5498">
            <v>0</v>
          </cell>
        </row>
        <row r="5499">
          <cell r="A5499" t="str">
            <v>61800-63030-00</v>
          </cell>
          <cell r="F5499">
            <v>0</v>
          </cell>
        </row>
        <row r="5500">
          <cell r="A5500" t="str">
            <v>61800-63032-00</v>
          </cell>
          <cell r="F5500">
            <v>0</v>
          </cell>
        </row>
        <row r="5501">
          <cell r="A5501" t="str">
            <v>61800-64032-00</v>
          </cell>
          <cell r="F5501">
            <v>0</v>
          </cell>
        </row>
        <row r="5502">
          <cell r="A5502" t="str">
            <v>61800-81001-00</v>
          </cell>
          <cell r="F5502">
            <v>0</v>
          </cell>
        </row>
        <row r="5503">
          <cell r="A5503" t="str">
            <v>61800-81005-00</v>
          </cell>
          <cell r="F5503">
            <v>0</v>
          </cell>
        </row>
        <row r="5504">
          <cell r="A5504" t="str">
            <v>61800-83001-00</v>
          </cell>
          <cell r="F5504">
            <v>20690.86</v>
          </cell>
        </row>
        <row r="5505">
          <cell r="A5505" t="str">
            <v>61800-84001-00</v>
          </cell>
          <cell r="F5505">
            <v>0</v>
          </cell>
        </row>
        <row r="5506">
          <cell r="A5506" t="str">
            <v>61800-85001-00</v>
          </cell>
          <cell r="F5506">
            <v>0</v>
          </cell>
        </row>
        <row r="5507">
          <cell r="A5507" t="str">
            <v>61850-31018-00</v>
          </cell>
          <cell r="F5507">
            <v>72000</v>
          </cell>
        </row>
        <row r="5508">
          <cell r="A5508" t="str">
            <v>61850-31019-00</v>
          </cell>
          <cell r="F5508">
            <v>15840</v>
          </cell>
        </row>
        <row r="5509">
          <cell r="A5509" t="str">
            <v>61850-31023-00</v>
          </cell>
          <cell r="F5509">
            <v>59400</v>
          </cell>
        </row>
        <row r="5510">
          <cell r="A5510" t="str">
            <v>61850-31029-00</v>
          </cell>
          <cell r="F5510">
            <v>18000</v>
          </cell>
        </row>
        <row r="5511">
          <cell r="A5511" t="str">
            <v>61850-31048-00</v>
          </cell>
          <cell r="F5511">
            <v>36000</v>
          </cell>
        </row>
        <row r="5512">
          <cell r="A5512" t="str">
            <v>61850-41002-00</v>
          </cell>
          <cell r="F5512">
            <v>9000</v>
          </cell>
        </row>
        <row r="5513">
          <cell r="A5513" t="str">
            <v>61850-41003-00</v>
          </cell>
          <cell r="F5513">
            <v>16527.68</v>
          </cell>
        </row>
        <row r="5514">
          <cell r="A5514" t="str">
            <v>61850-41005-00</v>
          </cell>
          <cell r="F5514">
            <v>12293.4</v>
          </cell>
        </row>
        <row r="5515">
          <cell r="A5515" t="str">
            <v>61850-41009-00</v>
          </cell>
          <cell r="F5515">
            <v>27085.68</v>
          </cell>
        </row>
        <row r="5516">
          <cell r="A5516" t="str">
            <v>61850-41049-00</v>
          </cell>
          <cell r="F5516">
            <v>2169.23</v>
          </cell>
        </row>
        <row r="5517">
          <cell r="A5517" t="str">
            <v>61850-43002-00</v>
          </cell>
          <cell r="F5517">
            <v>3600</v>
          </cell>
        </row>
        <row r="5518">
          <cell r="A5518" t="str">
            <v>61850-43005-00</v>
          </cell>
          <cell r="F5518">
            <v>36293.4</v>
          </cell>
        </row>
        <row r="5519">
          <cell r="A5519" t="str">
            <v>61850-43029-00</v>
          </cell>
          <cell r="F5519">
            <v>18000</v>
          </cell>
        </row>
        <row r="5520">
          <cell r="A5520" t="str">
            <v>61850-45005-00</v>
          </cell>
          <cell r="F5520">
            <v>9893.4</v>
          </cell>
        </row>
        <row r="5521">
          <cell r="A5521" t="str">
            <v>61850-45029-00</v>
          </cell>
          <cell r="F5521">
            <v>42000</v>
          </cell>
        </row>
        <row r="5522">
          <cell r="A5522" t="str">
            <v>61850-51001-00</v>
          </cell>
          <cell r="F5522">
            <v>42893.4</v>
          </cell>
        </row>
        <row r="5523">
          <cell r="A5523" t="str">
            <v>61850-83001-00</v>
          </cell>
          <cell r="F5523">
            <v>20478.240000000002</v>
          </cell>
        </row>
        <row r="5524">
          <cell r="A5524" t="str">
            <v>61900-00000-00</v>
          </cell>
          <cell r="F5524">
            <v>0</v>
          </cell>
        </row>
        <row r="5525">
          <cell r="A5525" t="str">
            <v>61900-11001-00</v>
          </cell>
          <cell r="F5525">
            <v>7908.3</v>
          </cell>
        </row>
        <row r="5526">
          <cell r="A5526" t="str">
            <v>61900-11005-00</v>
          </cell>
          <cell r="F5526">
            <v>0</v>
          </cell>
        </row>
        <row r="5527">
          <cell r="A5527" t="str">
            <v>61900-13006-00</v>
          </cell>
          <cell r="F5527">
            <v>0</v>
          </cell>
        </row>
        <row r="5528">
          <cell r="A5528" t="str">
            <v>61900-13007-00</v>
          </cell>
          <cell r="F5528">
            <v>0</v>
          </cell>
        </row>
        <row r="5529">
          <cell r="A5529" t="str">
            <v>61900-14001-00</v>
          </cell>
          <cell r="F5529">
            <v>249.46</v>
          </cell>
        </row>
        <row r="5530">
          <cell r="A5530" t="str">
            <v>61900-15001-00</v>
          </cell>
          <cell r="F5530">
            <v>5278.79</v>
          </cell>
        </row>
        <row r="5531">
          <cell r="A5531" t="str">
            <v>61900-15005-00</v>
          </cell>
          <cell r="F5531">
            <v>0</v>
          </cell>
        </row>
        <row r="5532">
          <cell r="A5532" t="str">
            <v>61900-31000-00</v>
          </cell>
          <cell r="F5532">
            <v>0</v>
          </cell>
        </row>
        <row r="5533">
          <cell r="A5533" t="str">
            <v>61900-31001-00</v>
          </cell>
          <cell r="F5533">
            <v>14897.34</v>
          </cell>
        </row>
        <row r="5534">
          <cell r="A5534" t="str">
            <v>61900-31010-00</v>
          </cell>
          <cell r="F5534">
            <v>3520.75</v>
          </cell>
        </row>
        <row r="5535">
          <cell r="A5535" t="str">
            <v>61900-31011-00</v>
          </cell>
          <cell r="F5535">
            <v>1921.98</v>
          </cell>
        </row>
        <row r="5536">
          <cell r="A5536" t="str">
            <v>61900-31012-00</v>
          </cell>
          <cell r="F5536">
            <v>0</v>
          </cell>
        </row>
        <row r="5537">
          <cell r="A5537" t="str">
            <v>61900-31013-00</v>
          </cell>
          <cell r="F5537">
            <v>0</v>
          </cell>
        </row>
        <row r="5538">
          <cell r="A5538" t="str">
            <v>61900-31014-00</v>
          </cell>
          <cell r="F5538">
            <v>0</v>
          </cell>
        </row>
        <row r="5539">
          <cell r="A5539" t="str">
            <v>61900-31015-00</v>
          </cell>
          <cell r="F5539">
            <v>0</v>
          </cell>
        </row>
        <row r="5540">
          <cell r="A5540" t="str">
            <v>61900-31016-00</v>
          </cell>
          <cell r="F5540">
            <v>0</v>
          </cell>
        </row>
        <row r="5541">
          <cell r="A5541" t="str">
            <v>61900-31017-00</v>
          </cell>
          <cell r="F5541">
            <v>0</v>
          </cell>
        </row>
        <row r="5542">
          <cell r="A5542" t="str">
            <v>61900-31018-00</v>
          </cell>
          <cell r="F5542">
            <v>629.55999999999995</v>
          </cell>
        </row>
        <row r="5543">
          <cell r="A5543" t="str">
            <v>61900-31019-00</v>
          </cell>
          <cell r="F5543">
            <v>4772.78</v>
          </cell>
        </row>
        <row r="5544">
          <cell r="A5544" t="str">
            <v>61900-31020-00</v>
          </cell>
          <cell r="F5544">
            <v>0</v>
          </cell>
        </row>
        <row r="5545">
          <cell r="A5545" t="str">
            <v>61900-31021-00</v>
          </cell>
          <cell r="F5545">
            <v>0</v>
          </cell>
        </row>
        <row r="5546">
          <cell r="A5546" t="str">
            <v>61900-31022-00</v>
          </cell>
          <cell r="F5546">
            <v>1109.9100000000001</v>
          </cell>
        </row>
        <row r="5547">
          <cell r="A5547" t="str">
            <v>61900-31023-00</v>
          </cell>
          <cell r="F5547">
            <v>97.43</v>
          </cell>
        </row>
        <row r="5548">
          <cell r="A5548" t="str">
            <v>61900-31024-00</v>
          </cell>
          <cell r="F5548">
            <v>0</v>
          </cell>
        </row>
        <row r="5549">
          <cell r="A5549" t="str">
            <v>61900-31025-00</v>
          </cell>
          <cell r="F5549">
            <v>0</v>
          </cell>
        </row>
        <row r="5550">
          <cell r="A5550" t="str">
            <v>61900-31026-00</v>
          </cell>
          <cell r="F5550">
            <v>29</v>
          </cell>
        </row>
        <row r="5551">
          <cell r="A5551" t="str">
            <v>61900-31027-00</v>
          </cell>
          <cell r="F5551">
            <v>0</v>
          </cell>
        </row>
        <row r="5552">
          <cell r="A5552" t="str">
            <v>61900-31028-00</v>
          </cell>
          <cell r="F5552">
            <v>502.22</v>
          </cell>
        </row>
        <row r="5553">
          <cell r="A5553" t="str">
            <v>61900-31029-00</v>
          </cell>
          <cell r="F5553">
            <v>0</v>
          </cell>
        </row>
        <row r="5554">
          <cell r="A5554" t="str">
            <v>61900-31030-00</v>
          </cell>
          <cell r="F5554">
            <v>0</v>
          </cell>
        </row>
        <row r="5555">
          <cell r="A5555" t="str">
            <v>61900-31031-00</v>
          </cell>
          <cell r="F5555">
            <v>0</v>
          </cell>
        </row>
        <row r="5556">
          <cell r="A5556" t="str">
            <v>61900-31032-00</v>
          </cell>
          <cell r="F5556">
            <v>429.12</v>
          </cell>
        </row>
        <row r="5557">
          <cell r="A5557" t="str">
            <v>61900-31033-00</v>
          </cell>
          <cell r="F5557">
            <v>483.06</v>
          </cell>
        </row>
        <row r="5558">
          <cell r="A5558" t="str">
            <v>61900-31034-00</v>
          </cell>
          <cell r="F5558">
            <v>0</v>
          </cell>
        </row>
        <row r="5559">
          <cell r="A5559" t="str">
            <v>61900-31035-00</v>
          </cell>
          <cell r="F5559">
            <v>0</v>
          </cell>
        </row>
        <row r="5560">
          <cell r="A5560" t="str">
            <v>61900-31036-00</v>
          </cell>
          <cell r="F5560">
            <v>0</v>
          </cell>
        </row>
        <row r="5561">
          <cell r="A5561" t="str">
            <v>61900-31037-00</v>
          </cell>
          <cell r="F5561">
            <v>0</v>
          </cell>
        </row>
        <row r="5562">
          <cell r="A5562" t="str">
            <v>61900-31038-00</v>
          </cell>
          <cell r="F5562">
            <v>0</v>
          </cell>
        </row>
        <row r="5563">
          <cell r="A5563" t="str">
            <v>61900-31039-00</v>
          </cell>
          <cell r="F5563">
            <v>17.98</v>
          </cell>
        </row>
        <row r="5564">
          <cell r="A5564" t="str">
            <v>61900-31040-00</v>
          </cell>
          <cell r="F5564">
            <v>0</v>
          </cell>
        </row>
        <row r="5565">
          <cell r="A5565" t="str">
            <v>61900-31041-00</v>
          </cell>
          <cell r="F5565">
            <v>2518.29</v>
          </cell>
        </row>
        <row r="5566">
          <cell r="A5566" t="str">
            <v>61900-31042-00</v>
          </cell>
          <cell r="F5566">
            <v>0</v>
          </cell>
        </row>
        <row r="5567">
          <cell r="A5567" t="str">
            <v>61900-31043-00</v>
          </cell>
          <cell r="F5567">
            <v>611.38</v>
          </cell>
        </row>
        <row r="5568">
          <cell r="A5568" t="str">
            <v>61900-31044-00</v>
          </cell>
          <cell r="F5568">
            <v>0</v>
          </cell>
        </row>
        <row r="5569">
          <cell r="A5569" t="str">
            <v>61900-31045-00</v>
          </cell>
          <cell r="F5569">
            <v>0</v>
          </cell>
        </row>
        <row r="5570">
          <cell r="A5570" t="str">
            <v>61900-31046-00</v>
          </cell>
          <cell r="F5570">
            <v>1644.52</v>
          </cell>
        </row>
        <row r="5571">
          <cell r="A5571" t="str">
            <v>61900-31047-00</v>
          </cell>
          <cell r="F5571">
            <v>0</v>
          </cell>
        </row>
        <row r="5572">
          <cell r="A5572" t="str">
            <v>61900-31048-00</v>
          </cell>
          <cell r="F5572">
            <v>620.47</v>
          </cell>
        </row>
        <row r="5573">
          <cell r="A5573" t="str">
            <v>61900-31049-00</v>
          </cell>
          <cell r="F5573">
            <v>0</v>
          </cell>
        </row>
        <row r="5574">
          <cell r="A5574" t="str">
            <v>61900-31050-00</v>
          </cell>
          <cell r="F5574">
            <v>0</v>
          </cell>
        </row>
        <row r="5575">
          <cell r="A5575" t="str">
            <v>61900-31051-00</v>
          </cell>
          <cell r="F5575">
            <v>0</v>
          </cell>
        </row>
        <row r="5576">
          <cell r="A5576" t="str">
            <v>61900-31053-00</v>
          </cell>
          <cell r="F5576">
            <v>0</v>
          </cell>
        </row>
        <row r="5577">
          <cell r="A5577" t="str">
            <v>61900-31054-00</v>
          </cell>
          <cell r="F5577">
            <v>0</v>
          </cell>
        </row>
        <row r="5578">
          <cell r="A5578" t="str">
            <v>61900-31055-00</v>
          </cell>
          <cell r="F5578">
            <v>1090.98</v>
          </cell>
        </row>
        <row r="5579">
          <cell r="A5579" t="str">
            <v>61900-31056-00</v>
          </cell>
          <cell r="F5579">
            <v>0</v>
          </cell>
        </row>
        <row r="5580">
          <cell r="A5580" t="str">
            <v>61900-31057-00</v>
          </cell>
          <cell r="F5580">
            <v>0</v>
          </cell>
        </row>
        <row r="5581">
          <cell r="A5581" t="str">
            <v>61900-31058-00</v>
          </cell>
          <cell r="F5581">
            <v>0</v>
          </cell>
        </row>
        <row r="5582">
          <cell r="A5582" t="str">
            <v>61900-31059-00</v>
          </cell>
          <cell r="F5582">
            <v>0</v>
          </cell>
        </row>
        <row r="5583">
          <cell r="A5583" t="str">
            <v>61900-31060-00</v>
          </cell>
          <cell r="F5583">
            <v>0</v>
          </cell>
        </row>
        <row r="5584">
          <cell r="A5584" t="str">
            <v>61900-31061-00</v>
          </cell>
          <cell r="F5584">
            <v>0</v>
          </cell>
        </row>
        <row r="5585">
          <cell r="A5585" t="str">
            <v>61900-31062-00</v>
          </cell>
          <cell r="F5585">
            <v>0</v>
          </cell>
        </row>
        <row r="5586">
          <cell r="A5586" t="str">
            <v>61900-31063-00</v>
          </cell>
          <cell r="F5586">
            <v>0</v>
          </cell>
        </row>
        <row r="5587">
          <cell r="A5587" t="str">
            <v>61900-31064-00</v>
          </cell>
          <cell r="F5587">
            <v>0</v>
          </cell>
        </row>
        <row r="5588">
          <cell r="A5588" t="str">
            <v>61900-31065-00</v>
          </cell>
          <cell r="F5588">
            <v>924.58</v>
          </cell>
        </row>
        <row r="5589">
          <cell r="A5589" t="str">
            <v>61900-31066-00</v>
          </cell>
          <cell r="F5589">
            <v>0</v>
          </cell>
        </row>
        <row r="5590">
          <cell r="A5590" t="str">
            <v>61900-31067-00</v>
          </cell>
          <cell r="F5590">
            <v>244.79</v>
          </cell>
        </row>
        <row r="5591">
          <cell r="A5591" t="str">
            <v>61900-31068-00</v>
          </cell>
          <cell r="F5591">
            <v>0</v>
          </cell>
        </row>
        <row r="5592">
          <cell r="A5592" t="str">
            <v>61900-31069-00</v>
          </cell>
          <cell r="F5592">
            <v>0</v>
          </cell>
        </row>
        <row r="5593">
          <cell r="A5593" t="str">
            <v>61900-31070-00</v>
          </cell>
          <cell r="F5593">
            <v>97.07</v>
          </cell>
        </row>
        <row r="5594">
          <cell r="A5594" t="str">
            <v>61900-31071-00</v>
          </cell>
          <cell r="F5594">
            <v>0</v>
          </cell>
        </row>
        <row r="5595">
          <cell r="A5595" t="str">
            <v>61900-31072-00</v>
          </cell>
          <cell r="F5595">
            <v>0</v>
          </cell>
        </row>
        <row r="5596">
          <cell r="A5596" t="str">
            <v>61900-31073-00</v>
          </cell>
          <cell r="F5596">
            <v>0</v>
          </cell>
        </row>
        <row r="5597">
          <cell r="A5597" t="str">
            <v>61900-31074-00</v>
          </cell>
          <cell r="F5597">
            <v>0</v>
          </cell>
        </row>
        <row r="5598">
          <cell r="A5598" t="str">
            <v>61900-31075-00</v>
          </cell>
          <cell r="F5598">
            <v>0</v>
          </cell>
        </row>
        <row r="5599">
          <cell r="A5599" t="str">
            <v>61900-31076-00</v>
          </cell>
          <cell r="F5599">
            <v>0</v>
          </cell>
        </row>
        <row r="5600">
          <cell r="A5600" t="str">
            <v>61900-31077-00</v>
          </cell>
          <cell r="F5600">
            <v>0</v>
          </cell>
        </row>
        <row r="5601">
          <cell r="A5601" t="str">
            <v>61900-31078-00</v>
          </cell>
          <cell r="F5601">
            <v>0</v>
          </cell>
        </row>
        <row r="5602">
          <cell r="A5602" t="str">
            <v>61900-41001-00</v>
          </cell>
          <cell r="F5602">
            <v>69061.600000000006</v>
          </cell>
        </row>
        <row r="5603">
          <cell r="A5603" t="str">
            <v>61900-41002-00</v>
          </cell>
          <cell r="F5603">
            <v>17838.29</v>
          </cell>
        </row>
        <row r="5604">
          <cell r="A5604" t="str">
            <v>61900-41003-00</v>
          </cell>
          <cell r="F5604">
            <v>28025.13</v>
          </cell>
        </row>
        <row r="5605">
          <cell r="A5605" t="str">
            <v>61900-41004-00</v>
          </cell>
          <cell r="F5605">
            <v>18022.64</v>
          </cell>
        </row>
        <row r="5606">
          <cell r="A5606" t="str">
            <v>61900-41005-00</v>
          </cell>
          <cell r="F5606">
            <v>6681.19</v>
          </cell>
        </row>
        <row r="5607">
          <cell r="A5607" t="str">
            <v>61900-41009-00</v>
          </cell>
          <cell r="F5607">
            <v>1864.29</v>
          </cell>
        </row>
        <row r="5608">
          <cell r="A5608" t="str">
            <v>61900-41029-00</v>
          </cell>
          <cell r="F5608">
            <v>907.91</v>
          </cell>
        </row>
        <row r="5609">
          <cell r="A5609" t="str">
            <v>61900-41030-00</v>
          </cell>
          <cell r="F5609">
            <v>13577.11</v>
          </cell>
        </row>
        <row r="5610">
          <cell r="A5610" t="str">
            <v>61900-41031-00</v>
          </cell>
          <cell r="F5610">
            <v>2881.2</v>
          </cell>
        </row>
        <row r="5611">
          <cell r="A5611" t="str">
            <v>61900-41032-00</v>
          </cell>
          <cell r="F5611">
            <v>615.65</v>
          </cell>
        </row>
        <row r="5612">
          <cell r="A5612" t="str">
            <v>61900-41041-00</v>
          </cell>
          <cell r="F5612">
            <v>2006.78</v>
          </cell>
        </row>
        <row r="5613">
          <cell r="A5613" t="str">
            <v>61900-41049-00</v>
          </cell>
          <cell r="F5613">
            <v>2380.14</v>
          </cell>
        </row>
        <row r="5614">
          <cell r="A5614" t="str">
            <v>61900-41052-00</v>
          </cell>
          <cell r="F5614">
            <v>0</v>
          </cell>
        </row>
        <row r="5615">
          <cell r="A5615" t="str">
            <v>61900-43001-00</v>
          </cell>
          <cell r="F5615">
            <v>9351.81</v>
          </cell>
        </row>
        <row r="5616">
          <cell r="A5616" t="str">
            <v>61900-43002-00</v>
          </cell>
          <cell r="F5616">
            <v>834.96</v>
          </cell>
        </row>
        <row r="5617">
          <cell r="A5617" t="str">
            <v>61900-43003-00</v>
          </cell>
          <cell r="F5617">
            <v>726.6</v>
          </cell>
        </row>
        <row r="5618">
          <cell r="A5618" t="str">
            <v>61900-43005-00</v>
          </cell>
          <cell r="F5618">
            <v>17542.2</v>
          </cell>
        </row>
        <row r="5619">
          <cell r="A5619" t="str">
            <v>61900-43009-00</v>
          </cell>
          <cell r="F5619">
            <v>7574.64</v>
          </cell>
        </row>
        <row r="5620">
          <cell r="A5620" t="str">
            <v>61900-43029-00</v>
          </cell>
          <cell r="F5620">
            <v>150.36000000000001</v>
          </cell>
        </row>
        <row r="5621">
          <cell r="A5621" t="str">
            <v>61900-43030-00</v>
          </cell>
          <cell r="F5621">
            <v>9509.4699999999993</v>
          </cell>
        </row>
        <row r="5622">
          <cell r="A5622" t="str">
            <v>61900-43031-00</v>
          </cell>
          <cell r="F5622">
            <v>2102.67</v>
          </cell>
        </row>
        <row r="5623">
          <cell r="A5623" t="str">
            <v>61900-43032-00</v>
          </cell>
          <cell r="F5623">
            <v>2398.96</v>
          </cell>
        </row>
        <row r="5624">
          <cell r="A5624" t="str">
            <v>61900-43041-00</v>
          </cell>
          <cell r="F5624">
            <v>15296.12</v>
          </cell>
        </row>
        <row r="5625">
          <cell r="A5625" t="str">
            <v>61900-43052-00</v>
          </cell>
          <cell r="F5625">
            <v>0</v>
          </cell>
        </row>
        <row r="5626">
          <cell r="A5626" t="str">
            <v>61900-45001-00</v>
          </cell>
          <cell r="F5626">
            <v>14723.7</v>
          </cell>
        </row>
        <row r="5627">
          <cell r="A5627" t="str">
            <v>61900-45002-00</v>
          </cell>
          <cell r="F5627">
            <v>5141.16</v>
          </cell>
        </row>
        <row r="5628">
          <cell r="A5628" t="str">
            <v>61900-45003-00</v>
          </cell>
          <cell r="F5628">
            <v>11.76</v>
          </cell>
        </row>
        <row r="5629">
          <cell r="A5629" t="str">
            <v>61900-45005-00</v>
          </cell>
          <cell r="F5629">
            <v>2613.5100000000002</v>
          </cell>
        </row>
        <row r="5630">
          <cell r="A5630" t="str">
            <v>61900-45009-00</v>
          </cell>
          <cell r="F5630">
            <v>103.37</v>
          </cell>
        </row>
        <row r="5631">
          <cell r="A5631" t="str">
            <v>61900-45029-00</v>
          </cell>
          <cell r="F5631">
            <v>940.41</v>
          </cell>
        </row>
        <row r="5632">
          <cell r="A5632" t="str">
            <v>61900-45030-00</v>
          </cell>
          <cell r="F5632">
            <v>3165.18</v>
          </cell>
        </row>
        <row r="5633">
          <cell r="A5633" t="str">
            <v>61900-45031-00</v>
          </cell>
          <cell r="F5633">
            <v>3.79</v>
          </cell>
        </row>
        <row r="5634">
          <cell r="A5634" t="str">
            <v>61900-45032-00</v>
          </cell>
          <cell r="F5634">
            <v>0</v>
          </cell>
        </row>
        <row r="5635">
          <cell r="A5635" t="str">
            <v>61900-45052-00</v>
          </cell>
          <cell r="F5635">
            <v>0</v>
          </cell>
        </row>
        <row r="5636">
          <cell r="A5636" t="str">
            <v>61900-51001-00</v>
          </cell>
          <cell r="F5636">
            <v>147288.04</v>
          </cell>
        </row>
        <row r="5637">
          <cell r="A5637" t="str">
            <v>61900-51005-00</v>
          </cell>
          <cell r="F5637">
            <v>0</v>
          </cell>
        </row>
        <row r="5638">
          <cell r="A5638" t="str">
            <v>61900-53001-00</v>
          </cell>
          <cell r="F5638">
            <v>0</v>
          </cell>
        </row>
        <row r="5639">
          <cell r="A5639" t="str">
            <v>61900-61030-00</v>
          </cell>
          <cell r="F5639">
            <v>1650.9</v>
          </cell>
        </row>
        <row r="5640">
          <cell r="A5640" t="str">
            <v>61900-61031-00</v>
          </cell>
          <cell r="F5640">
            <v>2925.35</v>
          </cell>
        </row>
        <row r="5641">
          <cell r="A5641" t="str">
            <v>61900-62030-00</v>
          </cell>
          <cell r="F5641">
            <v>2416.33</v>
          </cell>
        </row>
        <row r="5642">
          <cell r="A5642" t="str">
            <v>61900-62032-00</v>
          </cell>
          <cell r="F5642">
            <v>93.87</v>
          </cell>
        </row>
        <row r="5643">
          <cell r="A5643" t="str">
            <v>61900-63030-00</v>
          </cell>
          <cell r="F5643">
            <v>2889.85</v>
          </cell>
        </row>
        <row r="5644">
          <cell r="A5644" t="str">
            <v>61900-63032-00</v>
          </cell>
          <cell r="F5644">
            <v>4629.28</v>
          </cell>
        </row>
        <row r="5645">
          <cell r="A5645" t="str">
            <v>61900-64032-00</v>
          </cell>
          <cell r="F5645">
            <v>0</v>
          </cell>
        </row>
        <row r="5646">
          <cell r="A5646" t="str">
            <v>61900-81001-00</v>
          </cell>
          <cell r="F5646">
            <v>147.34</v>
          </cell>
        </row>
        <row r="5647">
          <cell r="A5647" t="str">
            <v>61900-81005-00</v>
          </cell>
          <cell r="F5647">
            <v>0</v>
          </cell>
        </row>
        <row r="5648">
          <cell r="A5648" t="str">
            <v>61900-83001-00</v>
          </cell>
          <cell r="F5648">
            <v>9334.15</v>
          </cell>
        </row>
        <row r="5649">
          <cell r="A5649" t="str">
            <v>61900-84001-00</v>
          </cell>
          <cell r="F5649">
            <v>0</v>
          </cell>
        </row>
        <row r="5650">
          <cell r="A5650" t="str">
            <v>61900-85001-00</v>
          </cell>
          <cell r="F5650">
            <v>0</v>
          </cell>
        </row>
        <row r="5651">
          <cell r="A5651" t="str">
            <v>61950-00000-00</v>
          </cell>
          <cell r="F5651">
            <v>0</v>
          </cell>
        </row>
        <row r="5652">
          <cell r="A5652" t="str">
            <v>61950-11001-00</v>
          </cell>
          <cell r="F5652">
            <v>15957.03</v>
          </cell>
        </row>
        <row r="5653">
          <cell r="A5653" t="str">
            <v>61950-11005-00</v>
          </cell>
          <cell r="F5653">
            <v>0</v>
          </cell>
        </row>
        <row r="5654">
          <cell r="A5654" t="str">
            <v>61950-13006-00</v>
          </cell>
          <cell r="F5654">
            <v>0</v>
          </cell>
        </row>
        <row r="5655">
          <cell r="A5655" t="str">
            <v>61950-13007-00</v>
          </cell>
          <cell r="F5655">
            <v>0</v>
          </cell>
        </row>
        <row r="5656">
          <cell r="A5656" t="str">
            <v>61950-14001-00</v>
          </cell>
          <cell r="F5656">
            <v>29.87</v>
          </cell>
        </row>
        <row r="5657">
          <cell r="A5657" t="str">
            <v>61950-15001-00</v>
          </cell>
          <cell r="F5657">
            <v>57356.78</v>
          </cell>
        </row>
        <row r="5658">
          <cell r="A5658" t="str">
            <v>61950-15005-00</v>
          </cell>
          <cell r="F5658">
            <v>0</v>
          </cell>
        </row>
        <row r="5659">
          <cell r="A5659" t="str">
            <v>61950-31000-00</v>
          </cell>
          <cell r="F5659">
            <v>0</v>
          </cell>
        </row>
        <row r="5660">
          <cell r="A5660" t="str">
            <v>61950-31001-00</v>
          </cell>
          <cell r="F5660">
            <v>68.84</v>
          </cell>
        </row>
        <row r="5661">
          <cell r="A5661" t="str">
            <v>61950-31010-00</v>
          </cell>
          <cell r="F5661">
            <v>8162.28</v>
          </cell>
        </row>
        <row r="5662">
          <cell r="A5662" t="str">
            <v>61950-31011-00</v>
          </cell>
          <cell r="F5662">
            <v>0</v>
          </cell>
        </row>
        <row r="5663">
          <cell r="A5663" t="str">
            <v>61950-31012-00</v>
          </cell>
          <cell r="F5663">
            <v>0</v>
          </cell>
        </row>
        <row r="5664">
          <cell r="A5664" t="str">
            <v>61950-31013-00</v>
          </cell>
          <cell r="F5664">
            <v>0</v>
          </cell>
        </row>
        <row r="5665">
          <cell r="A5665" t="str">
            <v>61950-31014-00</v>
          </cell>
          <cell r="F5665">
            <v>0</v>
          </cell>
        </row>
        <row r="5666">
          <cell r="A5666" t="str">
            <v>61950-31015-00</v>
          </cell>
          <cell r="F5666">
            <v>0</v>
          </cell>
        </row>
        <row r="5667">
          <cell r="A5667" t="str">
            <v>61950-31016-00</v>
          </cell>
          <cell r="F5667">
            <v>0</v>
          </cell>
        </row>
        <row r="5668">
          <cell r="A5668" t="str">
            <v>61950-31017-00</v>
          </cell>
          <cell r="F5668">
            <v>0</v>
          </cell>
        </row>
        <row r="5669">
          <cell r="A5669" t="str">
            <v>61950-31018-00</v>
          </cell>
          <cell r="F5669">
            <v>50</v>
          </cell>
        </row>
        <row r="5670">
          <cell r="A5670" t="str">
            <v>61950-31019-00</v>
          </cell>
          <cell r="F5670">
            <v>7023.47</v>
          </cell>
        </row>
        <row r="5671">
          <cell r="A5671" t="str">
            <v>61950-31020-00</v>
          </cell>
          <cell r="F5671">
            <v>0</v>
          </cell>
        </row>
        <row r="5672">
          <cell r="A5672" t="str">
            <v>61950-31021-00</v>
          </cell>
          <cell r="F5672">
            <v>0</v>
          </cell>
        </row>
        <row r="5673">
          <cell r="A5673" t="str">
            <v>61950-31022-00</v>
          </cell>
          <cell r="F5673">
            <v>0</v>
          </cell>
        </row>
        <row r="5674">
          <cell r="A5674" t="str">
            <v>61950-31023-00</v>
          </cell>
          <cell r="F5674">
            <v>0</v>
          </cell>
        </row>
        <row r="5675">
          <cell r="A5675" t="str">
            <v>61950-31024-00</v>
          </cell>
          <cell r="F5675">
            <v>0</v>
          </cell>
        </row>
        <row r="5676">
          <cell r="A5676" t="str">
            <v>61950-31025-00</v>
          </cell>
          <cell r="F5676">
            <v>0</v>
          </cell>
        </row>
        <row r="5677">
          <cell r="A5677" t="str">
            <v>61950-31026-00</v>
          </cell>
          <cell r="F5677">
            <v>0</v>
          </cell>
        </row>
        <row r="5678">
          <cell r="A5678" t="str">
            <v>61950-31027-00</v>
          </cell>
          <cell r="F5678">
            <v>0</v>
          </cell>
        </row>
        <row r="5679">
          <cell r="A5679" t="str">
            <v>61950-31028-00</v>
          </cell>
          <cell r="F5679">
            <v>0</v>
          </cell>
        </row>
        <row r="5680">
          <cell r="A5680" t="str">
            <v>61950-31029-00</v>
          </cell>
          <cell r="F5680">
            <v>0</v>
          </cell>
        </row>
        <row r="5681">
          <cell r="A5681" t="str">
            <v>61950-31030-00</v>
          </cell>
          <cell r="F5681">
            <v>0</v>
          </cell>
        </row>
        <row r="5682">
          <cell r="A5682" t="str">
            <v>61950-31031-00</v>
          </cell>
          <cell r="F5682">
            <v>0</v>
          </cell>
        </row>
        <row r="5683">
          <cell r="A5683" t="str">
            <v>61950-31032-00</v>
          </cell>
          <cell r="F5683">
            <v>60000</v>
          </cell>
        </row>
        <row r="5684">
          <cell r="A5684" t="str">
            <v>61950-31033-00</v>
          </cell>
          <cell r="F5684">
            <v>0</v>
          </cell>
        </row>
        <row r="5685">
          <cell r="A5685" t="str">
            <v>61950-31034-00</v>
          </cell>
          <cell r="F5685">
            <v>0</v>
          </cell>
        </row>
        <row r="5686">
          <cell r="A5686" t="str">
            <v>61950-31035-00</v>
          </cell>
          <cell r="F5686">
            <v>0</v>
          </cell>
        </row>
        <row r="5687">
          <cell r="A5687" t="str">
            <v>61950-31036-00</v>
          </cell>
          <cell r="F5687">
            <v>0</v>
          </cell>
        </row>
        <row r="5688">
          <cell r="A5688" t="str">
            <v>61950-31037-00</v>
          </cell>
          <cell r="F5688">
            <v>0</v>
          </cell>
        </row>
        <row r="5689">
          <cell r="A5689" t="str">
            <v>61950-31038-00</v>
          </cell>
          <cell r="F5689">
            <v>52</v>
          </cell>
        </row>
        <row r="5690">
          <cell r="A5690" t="str">
            <v>61950-31039-00</v>
          </cell>
          <cell r="F5690">
            <v>0</v>
          </cell>
        </row>
        <row r="5691">
          <cell r="A5691" t="str">
            <v>61950-31040-00</v>
          </cell>
          <cell r="F5691">
            <v>0</v>
          </cell>
        </row>
        <row r="5692">
          <cell r="A5692" t="str">
            <v>61950-31041-00</v>
          </cell>
          <cell r="F5692">
            <v>1114.25</v>
          </cell>
        </row>
        <row r="5693">
          <cell r="A5693" t="str">
            <v>61950-31042-00</v>
          </cell>
          <cell r="F5693">
            <v>0</v>
          </cell>
        </row>
        <row r="5694">
          <cell r="A5694" t="str">
            <v>61950-31043-00</v>
          </cell>
          <cell r="F5694">
            <v>0</v>
          </cell>
        </row>
        <row r="5695">
          <cell r="A5695" t="str">
            <v>61950-31044-00</v>
          </cell>
          <cell r="F5695">
            <v>0</v>
          </cell>
        </row>
        <row r="5696">
          <cell r="A5696" t="str">
            <v>61950-31045-00</v>
          </cell>
          <cell r="F5696">
            <v>0</v>
          </cell>
        </row>
        <row r="5697">
          <cell r="A5697" t="str">
            <v>61950-31046-00</v>
          </cell>
          <cell r="F5697">
            <v>0</v>
          </cell>
        </row>
        <row r="5698">
          <cell r="A5698" t="str">
            <v>61950-31047-00</v>
          </cell>
          <cell r="F5698">
            <v>0</v>
          </cell>
        </row>
        <row r="5699">
          <cell r="A5699" t="str">
            <v>61950-31048-00</v>
          </cell>
          <cell r="F5699">
            <v>0</v>
          </cell>
        </row>
        <row r="5700">
          <cell r="A5700" t="str">
            <v>61950-31049-00</v>
          </cell>
          <cell r="F5700">
            <v>0</v>
          </cell>
        </row>
        <row r="5701">
          <cell r="A5701" t="str">
            <v>61950-31050-00</v>
          </cell>
          <cell r="F5701">
            <v>0</v>
          </cell>
        </row>
        <row r="5702">
          <cell r="A5702" t="str">
            <v>61950-31051-00</v>
          </cell>
          <cell r="F5702">
            <v>0</v>
          </cell>
        </row>
        <row r="5703">
          <cell r="A5703" t="str">
            <v>61950-31053-00</v>
          </cell>
          <cell r="F5703">
            <v>0</v>
          </cell>
        </row>
        <row r="5704">
          <cell r="A5704" t="str">
            <v>61950-31054-00</v>
          </cell>
          <cell r="F5704">
            <v>0</v>
          </cell>
        </row>
        <row r="5705">
          <cell r="A5705" t="str">
            <v>61950-31055-00</v>
          </cell>
          <cell r="F5705">
            <v>0</v>
          </cell>
        </row>
        <row r="5706">
          <cell r="A5706" t="str">
            <v>61950-31056-00</v>
          </cell>
          <cell r="F5706">
            <v>0</v>
          </cell>
        </row>
        <row r="5707">
          <cell r="A5707" t="str">
            <v>61950-31057-00</v>
          </cell>
          <cell r="F5707">
            <v>0</v>
          </cell>
        </row>
        <row r="5708">
          <cell r="A5708" t="str">
            <v>61950-31058-00</v>
          </cell>
          <cell r="F5708">
            <v>0</v>
          </cell>
        </row>
        <row r="5709">
          <cell r="A5709" t="str">
            <v>61950-31059-00</v>
          </cell>
          <cell r="F5709">
            <v>0</v>
          </cell>
        </row>
        <row r="5710">
          <cell r="A5710" t="str">
            <v>61950-31060-00</v>
          </cell>
          <cell r="F5710">
            <v>0</v>
          </cell>
        </row>
        <row r="5711">
          <cell r="A5711" t="str">
            <v>61950-31061-00</v>
          </cell>
          <cell r="F5711">
            <v>0</v>
          </cell>
        </row>
        <row r="5712">
          <cell r="A5712" t="str">
            <v>61950-31062-00</v>
          </cell>
          <cell r="F5712">
            <v>0</v>
          </cell>
        </row>
        <row r="5713">
          <cell r="A5713" t="str">
            <v>61950-31063-00</v>
          </cell>
          <cell r="F5713">
            <v>0</v>
          </cell>
        </row>
        <row r="5714">
          <cell r="A5714" t="str">
            <v>61950-31064-00</v>
          </cell>
          <cell r="F5714">
            <v>0</v>
          </cell>
        </row>
        <row r="5715">
          <cell r="A5715" t="str">
            <v>61950-31065-00</v>
          </cell>
          <cell r="F5715">
            <v>0</v>
          </cell>
        </row>
        <row r="5716">
          <cell r="A5716" t="str">
            <v>61950-31066-00</v>
          </cell>
          <cell r="F5716">
            <v>0</v>
          </cell>
        </row>
        <row r="5717">
          <cell r="A5717" t="str">
            <v>61950-31067-00</v>
          </cell>
          <cell r="F5717">
            <v>0</v>
          </cell>
        </row>
        <row r="5718">
          <cell r="A5718" t="str">
            <v>61950-31068-00</v>
          </cell>
          <cell r="F5718">
            <v>0</v>
          </cell>
        </row>
        <row r="5719">
          <cell r="A5719" t="str">
            <v>61950-31069-00</v>
          </cell>
          <cell r="F5719">
            <v>0</v>
          </cell>
        </row>
        <row r="5720">
          <cell r="A5720" t="str">
            <v>61950-31070-00</v>
          </cell>
          <cell r="F5720">
            <v>0</v>
          </cell>
        </row>
        <row r="5721">
          <cell r="A5721" t="str">
            <v>61950-31071-00</v>
          </cell>
          <cell r="F5721">
            <v>0</v>
          </cell>
        </row>
        <row r="5722">
          <cell r="A5722" t="str">
            <v>61950-31072-00</v>
          </cell>
          <cell r="F5722">
            <v>0</v>
          </cell>
        </row>
        <row r="5723">
          <cell r="A5723" t="str">
            <v>61950-31073-00</v>
          </cell>
          <cell r="F5723">
            <v>0</v>
          </cell>
        </row>
        <row r="5724">
          <cell r="A5724" t="str">
            <v>61950-31074-00</v>
          </cell>
          <cell r="F5724">
            <v>0</v>
          </cell>
        </row>
        <row r="5725">
          <cell r="A5725" t="str">
            <v>61950-31075-00</v>
          </cell>
          <cell r="F5725">
            <v>0</v>
          </cell>
        </row>
        <row r="5726">
          <cell r="A5726" t="str">
            <v>61950-31076-00</v>
          </cell>
          <cell r="F5726">
            <v>0</v>
          </cell>
        </row>
        <row r="5727">
          <cell r="A5727" t="str">
            <v>61950-31077-00</v>
          </cell>
          <cell r="F5727">
            <v>0</v>
          </cell>
        </row>
        <row r="5728">
          <cell r="A5728" t="str">
            <v>61950-31078-00</v>
          </cell>
          <cell r="F5728">
            <v>0</v>
          </cell>
        </row>
        <row r="5729">
          <cell r="A5729" t="str">
            <v>61950-41001-00</v>
          </cell>
          <cell r="F5729">
            <v>2709.98</v>
          </cell>
        </row>
        <row r="5730">
          <cell r="A5730" t="str">
            <v>61950-41002-00</v>
          </cell>
          <cell r="F5730">
            <v>30.13</v>
          </cell>
        </row>
        <row r="5731">
          <cell r="A5731" t="str">
            <v>61950-41003-00</v>
          </cell>
          <cell r="F5731">
            <v>467.94</v>
          </cell>
        </row>
        <row r="5732">
          <cell r="A5732" t="str">
            <v>61950-41004-00</v>
          </cell>
          <cell r="F5732">
            <v>0</v>
          </cell>
        </row>
        <row r="5733">
          <cell r="A5733" t="str">
            <v>61950-41005-00</v>
          </cell>
          <cell r="F5733">
            <v>429.98</v>
          </cell>
        </row>
        <row r="5734">
          <cell r="A5734" t="str">
            <v>61950-41009-00</v>
          </cell>
          <cell r="F5734">
            <v>0</v>
          </cell>
        </row>
        <row r="5735">
          <cell r="A5735" t="str">
            <v>61950-41029-00</v>
          </cell>
          <cell r="F5735">
            <v>0</v>
          </cell>
        </row>
        <row r="5736">
          <cell r="A5736" t="str">
            <v>61950-41030-00</v>
          </cell>
          <cell r="F5736">
            <v>0</v>
          </cell>
        </row>
        <row r="5737">
          <cell r="A5737" t="str">
            <v>61950-41031-00</v>
          </cell>
          <cell r="F5737">
            <v>30</v>
          </cell>
        </row>
        <row r="5738">
          <cell r="A5738" t="str">
            <v>61950-41032-00</v>
          </cell>
          <cell r="F5738">
            <v>0</v>
          </cell>
        </row>
        <row r="5739">
          <cell r="A5739" t="str">
            <v>61950-41041-00</v>
          </cell>
          <cell r="F5739">
            <v>0</v>
          </cell>
        </row>
        <row r="5740">
          <cell r="A5740" t="str">
            <v>61950-41049-00</v>
          </cell>
          <cell r="F5740">
            <v>6232.36</v>
          </cell>
        </row>
        <row r="5741">
          <cell r="A5741" t="str">
            <v>61950-41052-00</v>
          </cell>
          <cell r="F5741">
            <v>0</v>
          </cell>
        </row>
        <row r="5742">
          <cell r="A5742" t="str">
            <v>61950-43001-00</v>
          </cell>
          <cell r="F5742">
            <v>0</v>
          </cell>
        </row>
        <row r="5743">
          <cell r="A5743" t="str">
            <v>61950-43002-00</v>
          </cell>
          <cell r="F5743">
            <v>0</v>
          </cell>
        </row>
        <row r="5744">
          <cell r="A5744" t="str">
            <v>61950-43003-00</v>
          </cell>
          <cell r="F5744">
            <v>0</v>
          </cell>
        </row>
        <row r="5745">
          <cell r="A5745" t="str">
            <v>61950-43005-00</v>
          </cell>
          <cell r="F5745">
            <v>0</v>
          </cell>
        </row>
        <row r="5746">
          <cell r="A5746" t="str">
            <v>61950-43009-00</v>
          </cell>
          <cell r="F5746">
            <v>0</v>
          </cell>
        </row>
        <row r="5747">
          <cell r="A5747" t="str">
            <v>61950-43029-00</v>
          </cell>
          <cell r="F5747">
            <v>0</v>
          </cell>
        </row>
        <row r="5748">
          <cell r="A5748" t="str">
            <v>61950-43030-00</v>
          </cell>
          <cell r="F5748">
            <v>0</v>
          </cell>
        </row>
        <row r="5749">
          <cell r="A5749" t="str">
            <v>61950-43031-00</v>
          </cell>
          <cell r="F5749">
            <v>501.96</v>
          </cell>
        </row>
        <row r="5750">
          <cell r="A5750" t="str">
            <v>61950-43032-00</v>
          </cell>
          <cell r="F5750">
            <v>0</v>
          </cell>
        </row>
        <row r="5751">
          <cell r="A5751" t="str">
            <v>61950-43041-00</v>
          </cell>
          <cell r="F5751">
            <v>103</v>
          </cell>
        </row>
        <row r="5752">
          <cell r="A5752" t="str">
            <v>61950-43052-00</v>
          </cell>
          <cell r="F5752">
            <v>0</v>
          </cell>
        </row>
        <row r="5753">
          <cell r="A5753" t="str">
            <v>61950-45001-00</v>
          </cell>
          <cell r="F5753">
            <v>1308</v>
          </cell>
        </row>
        <row r="5754">
          <cell r="A5754" t="str">
            <v>61950-45002-00</v>
          </cell>
          <cell r="F5754">
            <v>717.75</v>
          </cell>
        </row>
        <row r="5755">
          <cell r="A5755" t="str">
            <v>61950-45003-00</v>
          </cell>
          <cell r="F5755">
            <v>0</v>
          </cell>
        </row>
        <row r="5756">
          <cell r="A5756" t="str">
            <v>61950-45005-00</v>
          </cell>
          <cell r="F5756">
            <v>0</v>
          </cell>
        </row>
        <row r="5757">
          <cell r="A5757" t="str">
            <v>61950-45009-00</v>
          </cell>
          <cell r="F5757">
            <v>0</v>
          </cell>
        </row>
        <row r="5758">
          <cell r="A5758" t="str">
            <v>61950-45029-00</v>
          </cell>
          <cell r="F5758">
            <v>0</v>
          </cell>
        </row>
        <row r="5759">
          <cell r="A5759" t="str">
            <v>61950-45030-00</v>
          </cell>
          <cell r="F5759">
            <v>0</v>
          </cell>
        </row>
        <row r="5760">
          <cell r="A5760" t="str">
            <v>61950-45031-00</v>
          </cell>
          <cell r="F5760">
            <v>0</v>
          </cell>
        </row>
        <row r="5761">
          <cell r="A5761" t="str">
            <v>61950-45032-00</v>
          </cell>
          <cell r="F5761">
            <v>0</v>
          </cell>
        </row>
        <row r="5762">
          <cell r="A5762" t="str">
            <v>61950-45052-00</v>
          </cell>
          <cell r="F5762">
            <v>0</v>
          </cell>
        </row>
        <row r="5763">
          <cell r="A5763" t="str">
            <v>61950-51001-00</v>
          </cell>
          <cell r="F5763">
            <v>106676.8</v>
          </cell>
        </row>
        <row r="5764">
          <cell r="A5764" t="str">
            <v>61950-51005-00</v>
          </cell>
          <cell r="F5764">
            <v>0</v>
          </cell>
        </row>
        <row r="5765">
          <cell r="A5765" t="str">
            <v>61950-53001-00</v>
          </cell>
          <cell r="F5765">
            <v>0</v>
          </cell>
        </row>
        <row r="5766">
          <cell r="A5766" t="str">
            <v>61950-61030-00</v>
          </cell>
          <cell r="F5766">
            <v>0</v>
          </cell>
        </row>
        <row r="5767">
          <cell r="A5767" t="str">
            <v>61950-61031-00</v>
          </cell>
          <cell r="F5767">
            <v>0</v>
          </cell>
        </row>
        <row r="5768">
          <cell r="A5768" t="str">
            <v>61950-62030-00</v>
          </cell>
          <cell r="F5768">
            <v>0</v>
          </cell>
        </row>
        <row r="5769">
          <cell r="A5769" t="str">
            <v>61950-62032-00</v>
          </cell>
          <cell r="F5769">
            <v>0</v>
          </cell>
        </row>
        <row r="5770">
          <cell r="A5770" t="str">
            <v>61950-63030-00</v>
          </cell>
          <cell r="F5770">
            <v>0</v>
          </cell>
        </row>
        <row r="5771">
          <cell r="A5771" t="str">
            <v>61950-63032-00</v>
          </cell>
          <cell r="F5771">
            <v>0</v>
          </cell>
        </row>
        <row r="5772">
          <cell r="A5772" t="str">
            <v>61950-64032-00</v>
          </cell>
          <cell r="F5772">
            <v>10000</v>
          </cell>
        </row>
        <row r="5773">
          <cell r="A5773" t="str">
            <v>61950-81001-00</v>
          </cell>
          <cell r="F5773">
            <v>7.95</v>
          </cell>
        </row>
        <row r="5774">
          <cell r="A5774" t="str">
            <v>61950-81005-00</v>
          </cell>
          <cell r="F5774">
            <v>0</v>
          </cell>
        </row>
        <row r="5775">
          <cell r="A5775" t="str">
            <v>61950-83001-00</v>
          </cell>
          <cell r="F5775">
            <v>-9344.74</v>
          </cell>
        </row>
        <row r="5776">
          <cell r="A5776" t="str">
            <v>61950-84001-00</v>
          </cell>
          <cell r="F5776">
            <v>0</v>
          </cell>
        </row>
        <row r="5777">
          <cell r="A5777" t="str">
            <v>61950-85001-00</v>
          </cell>
          <cell r="F5777">
            <v>0</v>
          </cell>
        </row>
        <row r="5778">
          <cell r="A5778" t="str">
            <v>62000-00000-00</v>
          </cell>
          <cell r="F5778">
            <v>0</v>
          </cell>
        </row>
        <row r="5779">
          <cell r="A5779" t="str">
            <v>62000-11001-00</v>
          </cell>
          <cell r="F5779">
            <v>0</v>
          </cell>
        </row>
        <row r="5780">
          <cell r="A5780" t="str">
            <v>62000-11005-00</v>
          </cell>
          <cell r="F5780">
            <v>0</v>
          </cell>
        </row>
        <row r="5781">
          <cell r="A5781" t="str">
            <v>62000-15001-00</v>
          </cell>
          <cell r="F5781">
            <v>288.74</v>
          </cell>
        </row>
        <row r="5782">
          <cell r="A5782" t="str">
            <v>62000-31001-00</v>
          </cell>
          <cell r="F5782">
            <v>0</v>
          </cell>
        </row>
        <row r="5783">
          <cell r="A5783" t="str">
            <v>62000-41001-00</v>
          </cell>
          <cell r="F5783">
            <v>4599.5200000000004</v>
          </cell>
        </row>
        <row r="5784">
          <cell r="A5784" t="str">
            <v>62000-41002-00</v>
          </cell>
          <cell r="F5784">
            <v>2079.5</v>
          </cell>
        </row>
        <row r="5785">
          <cell r="A5785" t="str">
            <v>62000-41003-00</v>
          </cell>
          <cell r="F5785">
            <v>4158.5</v>
          </cell>
        </row>
        <row r="5786">
          <cell r="A5786" t="str">
            <v>62000-41004-00</v>
          </cell>
          <cell r="F5786">
            <v>450</v>
          </cell>
        </row>
        <row r="5787">
          <cell r="A5787" t="str">
            <v>62000-41005-00</v>
          </cell>
          <cell r="F5787">
            <v>0</v>
          </cell>
        </row>
        <row r="5788">
          <cell r="A5788" t="str">
            <v>62000-41009-00</v>
          </cell>
          <cell r="F5788">
            <v>735</v>
          </cell>
        </row>
        <row r="5789">
          <cell r="A5789" t="str">
            <v>62000-41029-00</v>
          </cell>
          <cell r="F5789">
            <v>763</v>
          </cell>
        </row>
        <row r="5790">
          <cell r="A5790" t="str">
            <v>62000-41030-00</v>
          </cell>
          <cell r="F5790">
            <v>89.5</v>
          </cell>
        </row>
        <row r="5791">
          <cell r="A5791" t="str">
            <v>62000-41031-00</v>
          </cell>
          <cell r="F5791">
            <v>138.5</v>
          </cell>
        </row>
        <row r="5792">
          <cell r="A5792" t="str">
            <v>62000-41032-00</v>
          </cell>
          <cell r="F5792">
            <v>0</v>
          </cell>
        </row>
        <row r="5793">
          <cell r="A5793" t="str">
            <v>62000-41041-00</v>
          </cell>
          <cell r="F5793">
            <v>0</v>
          </cell>
        </row>
        <row r="5794">
          <cell r="A5794" t="str">
            <v>62000-41049-00</v>
          </cell>
          <cell r="F5794">
            <v>551.5</v>
          </cell>
        </row>
        <row r="5795">
          <cell r="A5795" t="str">
            <v>62000-41052-00</v>
          </cell>
          <cell r="F5795">
            <v>0</v>
          </cell>
        </row>
        <row r="5796">
          <cell r="A5796" t="str">
            <v>62000-43001-00</v>
          </cell>
          <cell r="F5796">
            <v>1193.71</v>
          </cell>
        </row>
        <row r="5797">
          <cell r="A5797" t="str">
            <v>62000-43002-00</v>
          </cell>
          <cell r="F5797">
            <v>704</v>
          </cell>
        </row>
        <row r="5798">
          <cell r="A5798" t="str">
            <v>62000-43003-00</v>
          </cell>
          <cell r="F5798">
            <v>0</v>
          </cell>
        </row>
        <row r="5799">
          <cell r="A5799" t="str">
            <v>62000-43005-00</v>
          </cell>
          <cell r="F5799">
            <v>826</v>
          </cell>
        </row>
        <row r="5800">
          <cell r="A5800" t="str">
            <v>62000-43009-00</v>
          </cell>
          <cell r="F5800">
            <v>288</v>
          </cell>
        </row>
        <row r="5801">
          <cell r="A5801" t="str">
            <v>62000-43029-00</v>
          </cell>
          <cell r="F5801">
            <v>-0.76</v>
          </cell>
        </row>
        <row r="5802">
          <cell r="A5802" t="str">
            <v>62000-43030-00</v>
          </cell>
          <cell r="F5802">
            <v>722.5</v>
          </cell>
        </row>
        <row r="5803">
          <cell r="A5803" t="str">
            <v>62000-43031-00</v>
          </cell>
          <cell r="F5803">
            <v>0</v>
          </cell>
        </row>
        <row r="5804">
          <cell r="A5804" t="str">
            <v>62000-43032-00</v>
          </cell>
          <cell r="F5804">
            <v>0</v>
          </cell>
        </row>
        <row r="5805">
          <cell r="A5805" t="str">
            <v>62000-43041-00</v>
          </cell>
          <cell r="F5805">
            <v>961</v>
          </cell>
        </row>
        <row r="5806">
          <cell r="A5806" t="str">
            <v>62000-43052-00</v>
          </cell>
          <cell r="F5806">
            <v>0</v>
          </cell>
        </row>
        <row r="5807">
          <cell r="A5807" t="str">
            <v>62000-45001-00</v>
          </cell>
          <cell r="F5807">
            <v>614.13</v>
          </cell>
        </row>
        <row r="5808">
          <cell r="A5808" t="str">
            <v>62000-45002-00</v>
          </cell>
          <cell r="F5808">
            <v>1186.78</v>
          </cell>
        </row>
        <row r="5809">
          <cell r="A5809" t="str">
            <v>62000-45003-00</v>
          </cell>
          <cell r="F5809">
            <v>0</v>
          </cell>
        </row>
        <row r="5810">
          <cell r="A5810" t="str">
            <v>62000-45005-00</v>
          </cell>
          <cell r="F5810">
            <v>0</v>
          </cell>
        </row>
        <row r="5811">
          <cell r="A5811" t="str">
            <v>62000-45009-00</v>
          </cell>
          <cell r="F5811">
            <v>0</v>
          </cell>
        </row>
        <row r="5812">
          <cell r="A5812" t="str">
            <v>62000-45029-00</v>
          </cell>
          <cell r="F5812">
            <v>0</v>
          </cell>
        </row>
        <row r="5813">
          <cell r="A5813" t="str">
            <v>62000-45030-00</v>
          </cell>
          <cell r="F5813">
            <v>0</v>
          </cell>
        </row>
        <row r="5814">
          <cell r="A5814" t="str">
            <v>62000-45031-00</v>
          </cell>
          <cell r="F5814">
            <v>0</v>
          </cell>
        </row>
        <row r="5815">
          <cell r="A5815" t="str">
            <v>62000-45032-00</v>
          </cell>
          <cell r="F5815">
            <v>0</v>
          </cell>
        </row>
        <row r="5816">
          <cell r="A5816" t="str">
            <v>62000-45052-00</v>
          </cell>
          <cell r="F5816">
            <v>0</v>
          </cell>
        </row>
        <row r="5817">
          <cell r="A5817" t="str">
            <v>62000-51001-00</v>
          </cell>
          <cell r="F5817">
            <v>17811.54</v>
          </cell>
        </row>
        <row r="5818">
          <cell r="A5818" t="str">
            <v>62000-51005-00</v>
          </cell>
          <cell r="F5818">
            <v>0</v>
          </cell>
        </row>
        <row r="5819">
          <cell r="A5819" t="str">
            <v>62000-53001-00</v>
          </cell>
          <cell r="F5819">
            <v>0</v>
          </cell>
        </row>
        <row r="5820">
          <cell r="A5820" t="str">
            <v>62000-61030-00</v>
          </cell>
          <cell r="F5820">
            <v>0</v>
          </cell>
        </row>
        <row r="5821">
          <cell r="A5821" t="str">
            <v>62000-61031-00</v>
          </cell>
          <cell r="F5821">
            <v>0</v>
          </cell>
        </row>
        <row r="5822">
          <cell r="A5822" t="str">
            <v>62000-62030-00</v>
          </cell>
          <cell r="F5822">
            <v>0</v>
          </cell>
        </row>
        <row r="5823">
          <cell r="A5823" t="str">
            <v>62000-62032-00</v>
          </cell>
          <cell r="F5823">
            <v>0</v>
          </cell>
        </row>
        <row r="5824">
          <cell r="A5824" t="str">
            <v>62000-63030-00</v>
          </cell>
          <cell r="F5824">
            <v>0</v>
          </cell>
        </row>
        <row r="5825">
          <cell r="A5825" t="str">
            <v>62000-63032-00</v>
          </cell>
          <cell r="F5825">
            <v>0</v>
          </cell>
        </row>
        <row r="5826">
          <cell r="A5826" t="str">
            <v>62000-64032-00</v>
          </cell>
          <cell r="F5826">
            <v>0</v>
          </cell>
        </row>
        <row r="5827">
          <cell r="A5827" t="str">
            <v>62000-83001-00</v>
          </cell>
          <cell r="F5827">
            <v>13124.59</v>
          </cell>
        </row>
        <row r="5828">
          <cell r="A5828" t="str">
            <v>62000-84001-00</v>
          </cell>
          <cell r="F5828">
            <v>20272.52</v>
          </cell>
        </row>
        <row r="5829">
          <cell r="A5829" t="str">
            <v>62050-00000-00</v>
          </cell>
          <cell r="F5829">
            <v>0</v>
          </cell>
        </row>
        <row r="5830">
          <cell r="A5830" t="str">
            <v>62050-11001-00</v>
          </cell>
          <cell r="F5830">
            <v>43423.11</v>
          </cell>
        </row>
        <row r="5831">
          <cell r="A5831" t="str">
            <v>62050-11005-00</v>
          </cell>
          <cell r="F5831">
            <v>0</v>
          </cell>
        </row>
        <row r="5832">
          <cell r="A5832" t="str">
            <v>62050-13006-00</v>
          </cell>
          <cell r="F5832">
            <v>0</v>
          </cell>
        </row>
        <row r="5833">
          <cell r="A5833" t="str">
            <v>62050-13007-00</v>
          </cell>
          <cell r="F5833">
            <v>0</v>
          </cell>
        </row>
        <row r="5834">
          <cell r="A5834" t="str">
            <v>62050-14001-00</v>
          </cell>
          <cell r="F5834">
            <v>18982.349999999999</v>
          </cell>
        </row>
        <row r="5835">
          <cell r="A5835" t="str">
            <v>62050-14049-00</v>
          </cell>
          <cell r="F5835">
            <v>38383.07</v>
          </cell>
        </row>
        <row r="5836">
          <cell r="A5836" t="str">
            <v>62050-15001-00</v>
          </cell>
          <cell r="F5836">
            <v>155948.21</v>
          </cell>
        </row>
        <row r="5837">
          <cell r="A5837" t="str">
            <v>62050-15005-00</v>
          </cell>
          <cell r="F5837">
            <v>0</v>
          </cell>
        </row>
        <row r="5838">
          <cell r="A5838" t="str">
            <v>62050-31000-00</v>
          </cell>
          <cell r="F5838">
            <v>0</v>
          </cell>
        </row>
        <row r="5839">
          <cell r="A5839" t="str">
            <v>62050-31001-00</v>
          </cell>
          <cell r="F5839">
            <v>11739.05</v>
          </cell>
        </row>
        <row r="5840">
          <cell r="A5840" t="str">
            <v>62050-31010-00</v>
          </cell>
          <cell r="F5840">
            <v>73269.75</v>
          </cell>
        </row>
        <row r="5841">
          <cell r="A5841" t="str">
            <v>62050-31011-00</v>
          </cell>
          <cell r="F5841">
            <v>35686.639999999999</v>
          </cell>
        </row>
        <row r="5842">
          <cell r="A5842" t="str">
            <v>62050-31012-00</v>
          </cell>
          <cell r="F5842">
            <v>6294.85</v>
          </cell>
        </row>
        <row r="5843">
          <cell r="A5843" t="str">
            <v>62050-31013-00</v>
          </cell>
          <cell r="F5843">
            <v>0</v>
          </cell>
        </row>
        <row r="5844">
          <cell r="A5844" t="str">
            <v>62050-31014-00</v>
          </cell>
          <cell r="F5844">
            <v>0</v>
          </cell>
        </row>
        <row r="5845">
          <cell r="A5845" t="str">
            <v>62050-31015-00</v>
          </cell>
          <cell r="F5845">
            <v>0</v>
          </cell>
        </row>
        <row r="5846">
          <cell r="A5846" t="str">
            <v>62050-31016-00</v>
          </cell>
          <cell r="F5846">
            <v>0</v>
          </cell>
        </row>
        <row r="5847">
          <cell r="A5847" t="str">
            <v>62050-31017-00</v>
          </cell>
          <cell r="F5847">
            <v>0</v>
          </cell>
        </row>
        <row r="5848">
          <cell r="A5848" t="str">
            <v>62050-31018-00</v>
          </cell>
          <cell r="F5848">
            <v>19922.740000000002</v>
          </cell>
        </row>
        <row r="5849">
          <cell r="A5849" t="str">
            <v>62050-31019-00</v>
          </cell>
          <cell r="F5849">
            <v>420</v>
          </cell>
        </row>
        <row r="5850">
          <cell r="A5850" t="str">
            <v>62050-31020-00</v>
          </cell>
          <cell r="F5850">
            <v>0</v>
          </cell>
        </row>
        <row r="5851">
          <cell r="A5851" t="str">
            <v>62050-31021-00</v>
          </cell>
          <cell r="F5851">
            <v>0</v>
          </cell>
        </row>
        <row r="5852">
          <cell r="A5852" t="str">
            <v>62050-31022-00</v>
          </cell>
          <cell r="F5852">
            <v>18451.8</v>
          </cell>
        </row>
        <row r="5853">
          <cell r="A5853" t="str">
            <v>62050-31023-00</v>
          </cell>
          <cell r="F5853">
            <v>21290.58</v>
          </cell>
        </row>
        <row r="5854">
          <cell r="A5854" t="str">
            <v>62050-31024-00</v>
          </cell>
          <cell r="F5854">
            <v>0</v>
          </cell>
        </row>
        <row r="5855">
          <cell r="A5855" t="str">
            <v>62050-31025-00</v>
          </cell>
          <cell r="F5855">
            <v>0</v>
          </cell>
        </row>
        <row r="5856">
          <cell r="A5856" t="str">
            <v>62050-31026-00</v>
          </cell>
          <cell r="F5856">
            <v>11707.15</v>
          </cell>
        </row>
        <row r="5857">
          <cell r="A5857" t="str">
            <v>62050-31027-00</v>
          </cell>
          <cell r="F5857">
            <v>0</v>
          </cell>
        </row>
        <row r="5858">
          <cell r="A5858" t="str">
            <v>62050-31028-00</v>
          </cell>
          <cell r="F5858">
            <v>82992.759999999995</v>
          </cell>
        </row>
        <row r="5859">
          <cell r="A5859" t="str">
            <v>62050-31029-00</v>
          </cell>
          <cell r="F5859">
            <v>9300</v>
          </cell>
        </row>
        <row r="5860">
          <cell r="A5860" t="str">
            <v>62050-31030-00</v>
          </cell>
          <cell r="F5860">
            <v>42997.75</v>
          </cell>
        </row>
        <row r="5861">
          <cell r="A5861" t="str">
            <v>62050-31031-00</v>
          </cell>
          <cell r="F5861">
            <v>8142.94</v>
          </cell>
        </row>
        <row r="5862">
          <cell r="A5862" t="str">
            <v>62050-31032-00</v>
          </cell>
          <cell r="F5862">
            <v>10642.86</v>
          </cell>
        </row>
        <row r="5863">
          <cell r="A5863" t="str">
            <v>62050-31033-00</v>
          </cell>
          <cell r="F5863">
            <v>23514.25</v>
          </cell>
        </row>
        <row r="5864">
          <cell r="A5864" t="str">
            <v>62050-31034-00</v>
          </cell>
          <cell r="F5864">
            <v>0</v>
          </cell>
        </row>
        <row r="5865">
          <cell r="A5865" t="str">
            <v>62050-31035-00</v>
          </cell>
          <cell r="F5865">
            <v>0</v>
          </cell>
        </row>
        <row r="5866">
          <cell r="A5866" t="str">
            <v>62050-31036-00</v>
          </cell>
          <cell r="F5866">
            <v>0</v>
          </cell>
        </row>
        <row r="5867">
          <cell r="A5867" t="str">
            <v>62050-31037-00</v>
          </cell>
          <cell r="F5867">
            <v>0</v>
          </cell>
        </row>
        <row r="5868">
          <cell r="A5868" t="str">
            <v>62050-31038-00</v>
          </cell>
          <cell r="F5868">
            <v>600</v>
          </cell>
        </row>
        <row r="5869">
          <cell r="A5869" t="str">
            <v>62050-31039-00</v>
          </cell>
          <cell r="F5869">
            <v>0</v>
          </cell>
        </row>
        <row r="5870">
          <cell r="A5870" t="str">
            <v>62050-31040-00</v>
          </cell>
          <cell r="F5870">
            <v>0</v>
          </cell>
        </row>
        <row r="5871">
          <cell r="A5871" t="str">
            <v>62050-31041-00</v>
          </cell>
          <cell r="F5871">
            <v>55938.239999999998</v>
          </cell>
        </row>
        <row r="5872">
          <cell r="A5872" t="str">
            <v>62050-31042-00</v>
          </cell>
          <cell r="F5872">
            <v>0</v>
          </cell>
        </row>
        <row r="5873">
          <cell r="A5873" t="str">
            <v>62050-31043-00</v>
          </cell>
          <cell r="F5873">
            <v>32232.82</v>
          </cell>
        </row>
        <row r="5874">
          <cell r="A5874" t="str">
            <v>62050-31044-00</v>
          </cell>
          <cell r="F5874">
            <v>0</v>
          </cell>
        </row>
        <row r="5875">
          <cell r="A5875" t="str">
            <v>62050-31045-00</v>
          </cell>
          <cell r="F5875">
            <v>0</v>
          </cell>
        </row>
        <row r="5876">
          <cell r="A5876" t="str">
            <v>62050-31046-00</v>
          </cell>
          <cell r="F5876">
            <v>16664.43</v>
          </cell>
        </row>
        <row r="5877">
          <cell r="A5877" t="str">
            <v>62050-31047-00</v>
          </cell>
          <cell r="F5877">
            <v>0</v>
          </cell>
        </row>
        <row r="5878">
          <cell r="A5878" t="str">
            <v>62050-31048-00</v>
          </cell>
          <cell r="F5878">
            <v>36797.800000000003</v>
          </cell>
        </row>
        <row r="5879">
          <cell r="A5879" t="str">
            <v>62050-31049-00</v>
          </cell>
          <cell r="F5879">
            <v>0</v>
          </cell>
        </row>
        <row r="5880">
          <cell r="A5880" t="str">
            <v>62050-31050-00</v>
          </cell>
          <cell r="F5880">
            <v>0</v>
          </cell>
        </row>
        <row r="5881">
          <cell r="A5881" t="str">
            <v>62050-31051-00</v>
          </cell>
          <cell r="F5881">
            <v>0</v>
          </cell>
        </row>
        <row r="5882">
          <cell r="A5882" t="str">
            <v>62050-31053-00</v>
          </cell>
          <cell r="F5882">
            <v>0</v>
          </cell>
        </row>
        <row r="5883">
          <cell r="A5883" t="str">
            <v>62050-31054-00</v>
          </cell>
          <cell r="F5883">
            <v>0</v>
          </cell>
        </row>
        <row r="5884">
          <cell r="A5884" t="str">
            <v>62050-31055-00</v>
          </cell>
          <cell r="F5884">
            <v>15754.97</v>
          </cell>
        </row>
        <row r="5885">
          <cell r="A5885" t="str">
            <v>62050-31056-00</v>
          </cell>
          <cell r="F5885">
            <v>0</v>
          </cell>
        </row>
        <row r="5886">
          <cell r="A5886" t="str">
            <v>62050-31057-00</v>
          </cell>
          <cell r="F5886">
            <v>0</v>
          </cell>
        </row>
        <row r="5887">
          <cell r="A5887" t="str">
            <v>62050-31058-00</v>
          </cell>
          <cell r="F5887">
            <v>0</v>
          </cell>
        </row>
        <row r="5888">
          <cell r="A5888" t="str">
            <v>62050-31059-00</v>
          </cell>
          <cell r="F5888">
            <v>0</v>
          </cell>
        </row>
        <row r="5889">
          <cell r="A5889" t="str">
            <v>62050-31060-00</v>
          </cell>
          <cell r="F5889">
            <v>0</v>
          </cell>
        </row>
        <row r="5890">
          <cell r="A5890" t="str">
            <v>62050-31061-00</v>
          </cell>
          <cell r="F5890">
            <v>0</v>
          </cell>
        </row>
        <row r="5891">
          <cell r="A5891" t="str">
            <v>62050-31062-00</v>
          </cell>
          <cell r="F5891">
            <v>0</v>
          </cell>
        </row>
        <row r="5892">
          <cell r="A5892" t="str">
            <v>62050-31063-00</v>
          </cell>
          <cell r="F5892">
            <v>0</v>
          </cell>
        </row>
        <row r="5893">
          <cell r="A5893" t="str">
            <v>62050-31064-00</v>
          </cell>
          <cell r="F5893">
            <v>0</v>
          </cell>
        </row>
        <row r="5894">
          <cell r="A5894" t="str">
            <v>62050-31065-00</v>
          </cell>
          <cell r="F5894">
            <v>22011.16</v>
          </cell>
        </row>
        <row r="5895">
          <cell r="A5895" t="str">
            <v>62050-31066-00</v>
          </cell>
          <cell r="F5895">
            <v>0</v>
          </cell>
        </row>
        <row r="5896">
          <cell r="A5896" t="str">
            <v>62050-31067-00</v>
          </cell>
          <cell r="F5896">
            <v>2894.49</v>
          </cell>
        </row>
        <row r="5897">
          <cell r="A5897" t="str">
            <v>62050-31068-00</v>
          </cell>
          <cell r="F5897">
            <v>9006.49</v>
          </cell>
        </row>
        <row r="5898">
          <cell r="A5898" t="str">
            <v>62050-31069-00</v>
          </cell>
          <cell r="F5898">
            <v>16536.509999999998</v>
          </cell>
        </row>
        <row r="5899">
          <cell r="A5899" t="str">
            <v>62050-31070-00</v>
          </cell>
          <cell r="F5899">
            <v>44116.4</v>
          </cell>
        </row>
        <row r="5900">
          <cell r="A5900" t="str">
            <v>62050-31071-00</v>
          </cell>
          <cell r="F5900">
            <v>0</v>
          </cell>
        </row>
        <row r="5901">
          <cell r="A5901" t="str">
            <v>62050-31072-00</v>
          </cell>
          <cell r="F5901">
            <v>0</v>
          </cell>
        </row>
        <row r="5902">
          <cell r="A5902" t="str">
            <v>62050-31073-00</v>
          </cell>
          <cell r="F5902">
            <v>0</v>
          </cell>
        </row>
        <row r="5903">
          <cell r="A5903" t="str">
            <v>62050-31074-00</v>
          </cell>
          <cell r="F5903">
            <v>0</v>
          </cell>
        </row>
        <row r="5904">
          <cell r="A5904" t="str">
            <v>62050-31075-00</v>
          </cell>
          <cell r="F5904">
            <v>0</v>
          </cell>
        </row>
        <row r="5905">
          <cell r="A5905" t="str">
            <v>62050-31076-00</v>
          </cell>
          <cell r="F5905">
            <v>0</v>
          </cell>
        </row>
        <row r="5906">
          <cell r="A5906" t="str">
            <v>62050-31077-00</v>
          </cell>
          <cell r="F5906">
            <v>0</v>
          </cell>
        </row>
        <row r="5907">
          <cell r="A5907" t="str">
            <v>62050-31078-00</v>
          </cell>
          <cell r="F5907">
            <v>0</v>
          </cell>
        </row>
        <row r="5908">
          <cell r="A5908" t="str">
            <v>62050-41001-00</v>
          </cell>
          <cell r="F5908">
            <v>925673.55</v>
          </cell>
        </row>
        <row r="5909">
          <cell r="A5909" t="str">
            <v>62050-41002-00</v>
          </cell>
          <cell r="F5909">
            <v>332425.93</v>
          </cell>
        </row>
        <row r="5910">
          <cell r="A5910" t="str">
            <v>62050-41003-00</v>
          </cell>
          <cell r="F5910">
            <v>484704.06</v>
          </cell>
        </row>
        <row r="5911">
          <cell r="A5911" t="str">
            <v>62050-41004-00</v>
          </cell>
          <cell r="F5911">
            <v>122089</v>
          </cell>
        </row>
        <row r="5912">
          <cell r="A5912" t="str">
            <v>62050-41005-00</v>
          </cell>
          <cell r="F5912">
            <v>81664.479999999996</v>
          </cell>
        </row>
        <row r="5913">
          <cell r="A5913" t="str">
            <v>62050-41009-00</v>
          </cell>
          <cell r="F5913">
            <v>81387.59</v>
          </cell>
        </row>
        <row r="5914">
          <cell r="A5914" t="str">
            <v>62050-41029-00</v>
          </cell>
          <cell r="F5914">
            <v>30126.69</v>
          </cell>
        </row>
        <row r="5915">
          <cell r="A5915" t="str">
            <v>62050-41030-00</v>
          </cell>
          <cell r="F5915">
            <v>53096.41</v>
          </cell>
        </row>
        <row r="5916">
          <cell r="A5916" t="str">
            <v>62050-41031-00</v>
          </cell>
          <cell r="F5916">
            <v>87665.98</v>
          </cell>
        </row>
        <row r="5917">
          <cell r="A5917" t="str">
            <v>62050-41032-00</v>
          </cell>
          <cell r="F5917">
            <v>46893.13</v>
          </cell>
        </row>
        <row r="5918">
          <cell r="A5918" t="str">
            <v>62050-41041-00</v>
          </cell>
          <cell r="F5918">
            <v>18628.78</v>
          </cell>
        </row>
        <row r="5919">
          <cell r="A5919" t="str">
            <v>62050-41049-00</v>
          </cell>
          <cell r="F5919">
            <v>14506.32</v>
          </cell>
        </row>
        <row r="5920">
          <cell r="A5920" t="str">
            <v>62050-41052-00</v>
          </cell>
          <cell r="F5920">
            <v>0</v>
          </cell>
        </row>
        <row r="5921">
          <cell r="A5921" t="str">
            <v>62050-43001-00</v>
          </cell>
          <cell r="F5921">
            <v>47171.62</v>
          </cell>
        </row>
        <row r="5922">
          <cell r="A5922" t="str">
            <v>62050-43002-00</v>
          </cell>
          <cell r="F5922">
            <v>60200.35</v>
          </cell>
        </row>
        <row r="5923">
          <cell r="A5923" t="str">
            <v>62050-43003-00</v>
          </cell>
          <cell r="F5923">
            <v>22951.79</v>
          </cell>
        </row>
        <row r="5924">
          <cell r="A5924" t="str">
            <v>62050-43005-00</v>
          </cell>
          <cell r="F5924">
            <v>53021.56</v>
          </cell>
        </row>
        <row r="5925">
          <cell r="A5925" t="str">
            <v>62050-43009-00</v>
          </cell>
          <cell r="F5925">
            <v>64176.68</v>
          </cell>
        </row>
        <row r="5926">
          <cell r="A5926" t="str">
            <v>62050-43029-00</v>
          </cell>
          <cell r="F5926">
            <v>10193.42</v>
          </cell>
        </row>
        <row r="5927">
          <cell r="A5927" t="str">
            <v>62050-43030-00</v>
          </cell>
          <cell r="F5927">
            <v>148056.65</v>
          </cell>
        </row>
        <row r="5928">
          <cell r="A5928" t="str">
            <v>62050-43031-00</v>
          </cell>
          <cell r="F5928">
            <v>19990.080000000002</v>
          </cell>
        </row>
        <row r="5929">
          <cell r="A5929" t="str">
            <v>62050-43032-00</v>
          </cell>
          <cell r="F5929">
            <v>9550.06</v>
          </cell>
        </row>
        <row r="5930">
          <cell r="A5930" t="str">
            <v>62050-43041-00</v>
          </cell>
          <cell r="F5930">
            <v>42580.93</v>
          </cell>
        </row>
        <row r="5931">
          <cell r="A5931" t="str">
            <v>62050-43052-00</v>
          </cell>
          <cell r="F5931">
            <v>0</v>
          </cell>
        </row>
        <row r="5932">
          <cell r="A5932" t="str">
            <v>62050-45001-00</v>
          </cell>
          <cell r="F5932">
            <v>34498.97</v>
          </cell>
        </row>
        <row r="5933">
          <cell r="A5933" t="str">
            <v>62050-45002-00</v>
          </cell>
          <cell r="F5933">
            <v>171482.59</v>
          </cell>
        </row>
        <row r="5934">
          <cell r="A5934" t="str">
            <v>62050-45003-00</v>
          </cell>
          <cell r="F5934">
            <v>3428.57</v>
          </cell>
        </row>
        <row r="5935">
          <cell r="A5935" t="str">
            <v>62050-45005-00</v>
          </cell>
          <cell r="F5935">
            <v>50060.76</v>
          </cell>
        </row>
        <row r="5936">
          <cell r="A5936" t="str">
            <v>62050-45009-00</v>
          </cell>
          <cell r="F5936">
            <v>0</v>
          </cell>
        </row>
        <row r="5937">
          <cell r="A5937" t="str">
            <v>62050-45029-00</v>
          </cell>
          <cell r="F5937">
            <v>34990.94</v>
          </cell>
        </row>
        <row r="5938">
          <cell r="A5938" t="str">
            <v>62050-45030-00</v>
          </cell>
          <cell r="F5938">
            <v>9060.2099999999991</v>
          </cell>
        </row>
        <row r="5939">
          <cell r="A5939" t="str">
            <v>62050-45031-00</v>
          </cell>
          <cell r="F5939">
            <v>238.89</v>
          </cell>
        </row>
        <row r="5940">
          <cell r="A5940" t="str">
            <v>62050-45032-00</v>
          </cell>
          <cell r="F5940">
            <v>5296.97</v>
          </cell>
        </row>
        <row r="5941">
          <cell r="A5941" t="str">
            <v>62050-45052-00</v>
          </cell>
          <cell r="F5941">
            <v>0</v>
          </cell>
        </row>
        <row r="5942">
          <cell r="A5942" t="str">
            <v>62050-51001-00</v>
          </cell>
          <cell r="F5942">
            <v>2847427.59</v>
          </cell>
        </row>
        <row r="5943">
          <cell r="A5943" t="str">
            <v>62050-51005-00</v>
          </cell>
          <cell r="F5943">
            <v>0</v>
          </cell>
        </row>
        <row r="5944">
          <cell r="A5944" t="str">
            <v>62050-53001-00</v>
          </cell>
          <cell r="F5944">
            <v>18855.39</v>
          </cell>
        </row>
        <row r="5945">
          <cell r="A5945" t="str">
            <v>62050-61030-00</v>
          </cell>
          <cell r="F5945">
            <v>0</v>
          </cell>
        </row>
        <row r="5946">
          <cell r="A5946" t="str">
            <v>62050-61031-00</v>
          </cell>
          <cell r="F5946">
            <v>23543.27</v>
          </cell>
        </row>
        <row r="5947">
          <cell r="A5947" t="str">
            <v>62050-62030-00</v>
          </cell>
          <cell r="F5947">
            <v>74234.45</v>
          </cell>
        </row>
        <row r="5948">
          <cell r="A5948" t="str">
            <v>62050-62032-00</v>
          </cell>
          <cell r="F5948">
            <v>0</v>
          </cell>
        </row>
        <row r="5949">
          <cell r="A5949" t="str">
            <v>62050-63030-00</v>
          </cell>
          <cell r="F5949">
            <v>27785.11</v>
          </cell>
        </row>
        <row r="5950">
          <cell r="A5950" t="str">
            <v>62050-63032-00</v>
          </cell>
          <cell r="F5950">
            <v>9532.93</v>
          </cell>
        </row>
        <row r="5951">
          <cell r="A5951" t="str">
            <v>62050-64032-00</v>
          </cell>
          <cell r="F5951">
            <v>14697.23</v>
          </cell>
        </row>
        <row r="5952">
          <cell r="A5952" t="str">
            <v>62050-81001-00</v>
          </cell>
          <cell r="F5952">
            <v>0</v>
          </cell>
        </row>
        <row r="5953">
          <cell r="A5953" t="str">
            <v>62050-81005-00</v>
          </cell>
          <cell r="F5953">
            <v>0</v>
          </cell>
        </row>
        <row r="5954">
          <cell r="A5954" t="str">
            <v>62050-83001-00</v>
          </cell>
          <cell r="F5954">
            <v>187188.69</v>
          </cell>
        </row>
        <row r="5955">
          <cell r="A5955" t="str">
            <v>62050-84001-00</v>
          </cell>
          <cell r="F5955">
            <v>0</v>
          </cell>
        </row>
        <row r="5956">
          <cell r="A5956" t="str">
            <v>62050-85001-00</v>
          </cell>
          <cell r="F5956">
            <v>154679.03</v>
          </cell>
        </row>
        <row r="5957">
          <cell r="A5957" t="str">
            <v>62050-89001-00</v>
          </cell>
          <cell r="F5957">
            <v>0</v>
          </cell>
        </row>
        <row r="5958">
          <cell r="A5958" t="str">
            <v>62100-83001-00</v>
          </cell>
          <cell r="F5958">
            <v>0</v>
          </cell>
        </row>
        <row r="5959">
          <cell r="A5959" t="str">
            <v>62100-89001-00</v>
          </cell>
          <cell r="F5959">
            <v>7239255.3200000003</v>
          </cell>
        </row>
        <row r="5960">
          <cell r="A5960" t="str">
            <v>62101-89001-00</v>
          </cell>
          <cell r="F5960">
            <v>760000</v>
          </cell>
        </row>
        <row r="5961">
          <cell r="A5961" t="str">
            <v>62200-00000-00</v>
          </cell>
          <cell r="F5961">
            <v>0</v>
          </cell>
        </row>
        <row r="5962">
          <cell r="A5962" t="str">
            <v>62200-15001-00</v>
          </cell>
          <cell r="F5962">
            <v>9.0299999999999994</v>
          </cell>
        </row>
        <row r="5963">
          <cell r="A5963" t="str">
            <v>62200-31001-00</v>
          </cell>
          <cell r="F5963">
            <v>-0.89</v>
          </cell>
        </row>
        <row r="5964">
          <cell r="A5964" t="str">
            <v>62200-31041-00</v>
          </cell>
          <cell r="F5964">
            <v>0</v>
          </cell>
        </row>
        <row r="5965">
          <cell r="A5965" t="str">
            <v>62200-41001-00</v>
          </cell>
          <cell r="F5965">
            <v>-2.98</v>
          </cell>
        </row>
        <row r="5966">
          <cell r="A5966" t="str">
            <v>62200-41002-00</v>
          </cell>
          <cell r="F5966">
            <v>26.35</v>
          </cell>
        </row>
        <row r="5967">
          <cell r="A5967" t="str">
            <v>62200-41003-00</v>
          </cell>
          <cell r="F5967">
            <v>6.31</v>
          </cell>
        </row>
        <row r="5968">
          <cell r="A5968" t="str">
            <v>62200-41004-00</v>
          </cell>
          <cell r="F5968">
            <v>-1.6</v>
          </cell>
        </row>
        <row r="5969">
          <cell r="A5969" t="str">
            <v>62200-41005-00</v>
          </cell>
          <cell r="F5969">
            <v>0</v>
          </cell>
        </row>
        <row r="5970">
          <cell r="A5970" t="str">
            <v>62200-41009-00</v>
          </cell>
          <cell r="F5970">
            <v>0</v>
          </cell>
        </row>
        <row r="5971">
          <cell r="A5971" t="str">
            <v>62200-41029-00</v>
          </cell>
          <cell r="F5971">
            <v>0.55000000000000004</v>
          </cell>
        </row>
        <row r="5972">
          <cell r="A5972" t="str">
            <v>62200-41030-00</v>
          </cell>
          <cell r="F5972">
            <v>21.87</v>
          </cell>
        </row>
        <row r="5973">
          <cell r="A5973" t="str">
            <v>62200-41031-00</v>
          </cell>
          <cell r="F5973">
            <v>10.02</v>
          </cell>
        </row>
        <row r="5974">
          <cell r="A5974" t="str">
            <v>62200-41032-00</v>
          </cell>
          <cell r="F5974">
            <v>0.72</v>
          </cell>
        </row>
        <row r="5975">
          <cell r="A5975" t="str">
            <v>62200-41041-00</v>
          </cell>
          <cell r="F5975">
            <v>0</v>
          </cell>
        </row>
        <row r="5976">
          <cell r="A5976" t="str">
            <v>62200-41049-00</v>
          </cell>
          <cell r="F5976">
            <v>0</v>
          </cell>
        </row>
        <row r="5977">
          <cell r="A5977" t="str">
            <v>62200-41052-00</v>
          </cell>
          <cell r="F5977">
            <v>0</v>
          </cell>
        </row>
        <row r="5978">
          <cell r="A5978" t="str">
            <v>62200-43001-00</v>
          </cell>
          <cell r="F5978">
            <v>-2.15</v>
          </cell>
        </row>
        <row r="5979">
          <cell r="A5979" t="str">
            <v>62200-43002-00</v>
          </cell>
          <cell r="F5979">
            <v>-0.43</v>
          </cell>
        </row>
        <row r="5980">
          <cell r="A5980" t="str">
            <v>62200-43003-00</v>
          </cell>
          <cell r="F5980">
            <v>-1.0900000000000001</v>
          </cell>
        </row>
        <row r="5981">
          <cell r="A5981" t="str">
            <v>62200-43005-00</v>
          </cell>
          <cell r="F5981">
            <v>0</v>
          </cell>
        </row>
        <row r="5982">
          <cell r="A5982" t="str">
            <v>62200-43009-00</v>
          </cell>
          <cell r="F5982">
            <v>-1</v>
          </cell>
        </row>
        <row r="5983">
          <cell r="A5983" t="str">
            <v>62200-43029-00</v>
          </cell>
          <cell r="F5983">
            <v>-0.41</v>
          </cell>
        </row>
        <row r="5984">
          <cell r="A5984" t="str">
            <v>62200-43030-00</v>
          </cell>
          <cell r="F5984">
            <v>6.75</v>
          </cell>
        </row>
        <row r="5985">
          <cell r="A5985" t="str">
            <v>62200-43031-00</v>
          </cell>
          <cell r="F5985">
            <v>0.66</v>
          </cell>
        </row>
        <row r="5986">
          <cell r="A5986" t="str">
            <v>62200-43032-00</v>
          </cell>
          <cell r="F5986">
            <v>0</v>
          </cell>
        </row>
        <row r="5987">
          <cell r="A5987" t="str">
            <v>62200-43041-00</v>
          </cell>
          <cell r="F5987">
            <v>-0.5</v>
          </cell>
        </row>
        <row r="5988">
          <cell r="A5988" t="str">
            <v>62200-43052-00</v>
          </cell>
          <cell r="F5988">
            <v>0</v>
          </cell>
        </row>
        <row r="5989">
          <cell r="A5989" t="str">
            <v>62200-45001-00</v>
          </cell>
          <cell r="F5989">
            <v>0.02</v>
          </cell>
        </row>
        <row r="5990">
          <cell r="A5990" t="str">
            <v>62200-45002-00</v>
          </cell>
          <cell r="F5990">
            <v>2.4500000000000002</v>
          </cell>
        </row>
        <row r="5991">
          <cell r="A5991" t="str">
            <v>62200-45003-00</v>
          </cell>
          <cell r="F5991">
            <v>0</v>
          </cell>
        </row>
        <row r="5992">
          <cell r="A5992" t="str">
            <v>62200-45005-00</v>
          </cell>
          <cell r="F5992">
            <v>0</v>
          </cell>
        </row>
        <row r="5993">
          <cell r="A5993" t="str">
            <v>62200-45009-00</v>
          </cell>
          <cell r="F5993">
            <v>0</v>
          </cell>
        </row>
        <row r="5994">
          <cell r="A5994" t="str">
            <v>62200-45029-00</v>
          </cell>
          <cell r="F5994">
            <v>0.03</v>
          </cell>
        </row>
        <row r="5995">
          <cell r="A5995" t="str">
            <v>62200-45030-00</v>
          </cell>
          <cell r="F5995">
            <v>-0.02</v>
          </cell>
        </row>
        <row r="5996">
          <cell r="A5996" t="str">
            <v>62200-45031-00</v>
          </cell>
          <cell r="F5996">
            <v>-0.17</v>
          </cell>
        </row>
        <row r="5997">
          <cell r="A5997" t="str">
            <v>62200-45032-00</v>
          </cell>
          <cell r="F5997">
            <v>0</v>
          </cell>
        </row>
        <row r="5998">
          <cell r="A5998" t="str">
            <v>62200-45052-00</v>
          </cell>
          <cell r="F5998">
            <v>0</v>
          </cell>
        </row>
        <row r="5999">
          <cell r="A5999" t="str">
            <v>62200-51001-00</v>
          </cell>
          <cell r="F5999">
            <v>0</v>
          </cell>
        </row>
        <row r="6000">
          <cell r="A6000" t="str">
            <v>62200-51005-00</v>
          </cell>
          <cell r="F6000">
            <v>0</v>
          </cell>
        </row>
        <row r="6001">
          <cell r="A6001" t="str">
            <v>62200-53001-00</v>
          </cell>
          <cell r="F6001">
            <v>0</v>
          </cell>
        </row>
        <row r="6002">
          <cell r="A6002" t="str">
            <v>62200-61030-00</v>
          </cell>
          <cell r="F6002">
            <v>0.81</v>
          </cell>
        </row>
        <row r="6003">
          <cell r="A6003" t="str">
            <v>62200-61031-00</v>
          </cell>
          <cell r="F6003">
            <v>0.6</v>
          </cell>
        </row>
        <row r="6004">
          <cell r="A6004" t="str">
            <v>62200-62030-00</v>
          </cell>
          <cell r="F6004">
            <v>4.4000000000000004</v>
          </cell>
        </row>
        <row r="6005">
          <cell r="A6005" t="str">
            <v>62200-62032-00</v>
          </cell>
          <cell r="F6005">
            <v>0</v>
          </cell>
        </row>
        <row r="6006">
          <cell r="A6006" t="str">
            <v>62200-63030-00</v>
          </cell>
          <cell r="F6006">
            <v>2.68</v>
          </cell>
        </row>
        <row r="6007">
          <cell r="A6007" t="str">
            <v>62200-63032-00</v>
          </cell>
          <cell r="F6007">
            <v>-0.8</v>
          </cell>
        </row>
        <row r="6008">
          <cell r="A6008" t="str">
            <v>62200-64032-00</v>
          </cell>
          <cell r="F6008">
            <v>0</v>
          </cell>
        </row>
        <row r="6009">
          <cell r="A6009" t="str">
            <v>62200-81001-00</v>
          </cell>
          <cell r="F6009">
            <v>-294.74</v>
          </cell>
        </row>
        <row r="6010">
          <cell r="A6010" t="str">
            <v>62200-81005-00</v>
          </cell>
          <cell r="F6010">
            <v>0</v>
          </cell>
        </row>
        <row r="6011">
          <cell r="F6011">
            <v>55393618.219999999</v>
          </cell>
        </row>
        <row r="6012">
          <cell r="A6012" t="str">
            <v>Other Income/Expenses</v>
          </cell>
        </row>
        <row r="6013">
          <cell r="A6013" t="str">
            <v>71000-11005-00</v>
          </cell>
          <cell r="F6013">
            <v>0</v>
          </cell>
        </row>
        <row r="6014">
          <cell r="A6014" t="str">
            <v>71000-83001-00</v>
          </cell>
          <cell r="F6014">
            <v>-93437.1</v>
          </cell>
        </row>
        <row r="6015">
          <cell r="A6015" t="str">
            <v>71025-83001-00</v>
          </cell>
          <cell r="F6015">
            <v>0</v>
          </cell>
        </row>
        <row r="6016">
          <cell r="A6016" t="str">
            <v>71025-89001-00</v>
          </cell>
          <cell r="F6016">
            <v>0</v>
          </cell>
        </row>
        <row r="6017">
          <cell r="A6017" t="str">
            <v>71500-00000-00</v>
          </cell>
          <cell r="F6017">
            <v>0</v>
          </cell>
        </row>
        <row r="6018">
          <cell r="A6018" t="str">
            <v>71500-11001-00</v>
          </cell>
          <cell r="F6018">
            <v>-58651.76</v>
          </cell>
        </row>
        <row r="6019">
          <cell r="A6019" t="str">
            <v>71500-14001-00</v>
          </cell>
          <cell r="F6019">
            <v>-6128.99</v>
          </cell>
        </row>
        <row r="6020">
          <cell r="A6020" t="str">
            <v>71500-15001-00</v>
          </cell>
          <cell r="F6020">
            <v>-23329.45</v>
          </cell>
        </row>
        <row r="6021">
          <cell r="A6021" t="str">
            <v>71500-31001-00</v>
          </cell>
          <cell r="F6021">
            <v>-40207.32</v>
          </cell>
        </row>
        <row r="6022">
          <cell r="A6022" t="str">
            <v>71500-31010-00</v>
          </cell>
          <cell r="F6022">
            <v>0</v>
          </cell>
        </row>
        <row r="6023">
          <cell r="A6023" t="str">
            <v>71500-31011-00</v>
          </cell>
          <cell r="F6023">
            <v>-12</v>
          </cell>
        </row>
        <row r="6024">
          <cell r="A6024" t="str">
            <v>71500-31012-00</v>
          </cell>
          <cell r="F6024">
            <v>0</v>
          </cell>
        </row>
        <row r="6025">
          <cell r="A6025" t="str">
            <v>71500-31017-00</v>
          </cell>
          <cell r="F6025">
            <v>0</v>
          </cell>
        </row>
        <row r="6026">
          <cell r="A6026" t="str">
            <v>71500-31018-00</v>
          </cell>
          <cell r="F6026">
            <v>0</v>
          </cell>
        </row>
        <row r="6027">
          <cell r="A6027" t="str">
            <v>71500-31019-00</v>
          </cell>
          <cell r="F6027">
            <v>0</v>
          </cell>
        </row>
        <row r="6028">
          <cell r="A6028" t="str">
            <v>71500-31023-00</v>
          </cell>
          <cell r="F6028">
            <v>0</v>
          </cell>
        </row>
        <row r="6029">
          <cell r="A6029" t="str">
            <v>71500-31030-00</v>
          </cell>
          <cell r="F6029">
            <v>0</v>
          </cell>
        </row>
        <row r="6030">
          <cell r="A6030" t="str">
            <v>71500-31031-00</v>
          </cell>
          <cell r="F6030">
            <v>0</v>
          </cell>
        </row>
        <row r="6031">
          <cell r="A6031" t="str">
            <v>71500-31043-00</v>
          </cell>
          <cell r="F6031">
            <v>0</v>
          </cell>
        </row>
        <row r="6032">
          <cell r="A6032" t="str">
            <v>71500-31055-00</v>
          </cell>
          <cell r="F6032">
            <v>0</v>
          </cell>
        </row>
        <row r="6033">
          <cell r="A6033" t="str">
            <v>71500-31065-00</v>
          </cell>
          <cell r="F6033">
            <v>-18.440000000000001</v>
          </cell>
        </row>
        <row r="6034">
          <cell r="A6034" t="str">
            <v>71500-31066-00</v>
          </cell>
          <cell r="F6034">
            <v>0</v>
          </cell>
        </row>
        <row r="6035">
          <cell r="A6035" t="str">
            <v>71500-31067-00</v>
          </cell>
          <cell r="F6035">
            <v>0</v>
          </cell>
        </row>
        <row r="6036">
          <cell r="A6036" t="str">
            <v>71500-31068-00</v>
          </cell>
          <cell r="F6036">
            <v>-572.51</v>
          </cell>
        </row>
        <row r="6037">
          <cell r="A6037" t="str">
            <v>71500-31069-00</v>
          </cell>
          <cell r="F6037">
            <v>0</v>
          </cell>
        </row>
        <row r="6038">
          <cell r="A6038" t="str">
            <v>71500-31070-00</v>
          </cell>
          <cell r="F6038">
            <v>0</v>
          </cell>
        </row>
        <row r="6039">
          <cell r="A6039" t="str">
            <v>71500-31071-00</v>
          </cell>
          <cell r="F6039">
            <v>0</v>
          </cell>
        </row>
        <row r="6040">
          <cell r="A6040" t="str">
            <v>71500-31072-00</v>
          </cell>
          <cell r="F6040">
            <v>0</v>
          </cell>
        </row>
        <row r="6041">
          <cell r="A6041" t="str">
            <v>71500-31074-00</v>
          </cell>
          <cell r="F6041">
            <v>0</v>
          </cell>
        </row>
        <row r="6042">
          <cell r="A6042" t="str">
            <v>71500-41001-00</v>
          </cell>
          <cell r="F6042">
            <v>-28473.78</v>
          </cell>
        </row>
        <row r="6043">
          <cell r="A6043" t="str">
            <v>71500-41002-00</v>
          </cell>
          <cell r="F6043">
            <v>-6023.3</v>
          </cell>
        </row>
        <row r="6044">
          <cell r="A6044" t="str">
            <v>71500-41003-00</v>
          </cell>
          <cell r="F6044">
            <v>-17282.97</v>
          </cell>
        </row>
        <row r="6045">
          <cell r="A6045" t="str">
            <v>71500-41004-00</v>
          </cell>
          <cell r="F6045">
            <v>-12615.38</v>
          </cell>
        </row>
        <row r="6046">
          <cell r="A6046" t="str">
            <v>71500-41005-00</v>
          </cell>
          <cell r="F6046">
            <v>-1309.04</v>
          </cell>
        </row>
        <row r="6047">
          <cell r="A6047" t="str">
            <v>71500-41009-00</v>
          </cell>
          <cell r="F6047">
            <v>-747.61</v>
          </cell>
        </row>
        <row r="6048">
          <cell r="A6048" t="str">
            <v>71500-41029-00</v>
          </cell>
          <cell r="F6048">
            <v>-1020.78</v>
          </cell>
        </row>
        <row r="6049">
          <cell r="A6049" t="str">
            <v>71500-41030-00</v>
          </cell>
          <cell r="F6049">
            <v>-3979.03</v>
          </cell>
        </row>
        <row r="6050">
          <cell r="A6050" t="str">
            <v>71500-41031-00</v>
          </cell>
          <cell r="F6050">
            <v>-6282.84</v>
          </cell>
        </row>
        <row r="6051">
          <cell r="A6051" t="str">
            <v>71500-41032-00</v>
          </cell>
          <cell r="F6051">
            <v>-1761.76</v>
          </cell>
        </row>
        <row r="6052">
          <cell r="A6052" t="str">
            <v>71500-41041-00</v>
          </cell>
          <cell r="F6052">
            <v>-119.24</v>
          </cell>
        </row>
        <row r="6053">
          <cell r="A6053" t="str">
            <v>71500-41049-00</v>
          </cell>
          <cell r="F6053">
            <v>-789.29</v>
          </cell>
        </row>
        <row r="6054">
          <cell r="A6054" t="str">
            <v>71500-43001-00</v>
          </cell>
          <cell r="F6054">
            <v>-8539.81</v>
          </cell>
        </row>
        <row r="6055">
          <cell r="A6055" t="str">
            <v>71500-43002-00</v>
          </cell>
          <cell r="F6055">
            <v>-4535.6499999999996</v>
          </cell>
        </row>
        <row r="6056">
          <cell r="A6056" t="str">
            <v>71500-43003-00</v>
          </cell>
          <cell r="F6056">
            <v>-1024.8</v>
          </cell>
        </row>
        <row r="6057">
          <cell r="A6057" t="str">
            <v>71500-43005-00</v>
          </cell>
          <cell r="F6057">
            <v>-2109.52</v>
          </cell>
        </row>
        <row r="6058">
          <cell r="A6058" t="str">
            <v>71500-43009-00</v>
          </cell>
          <cell r="F6058">
            <v>-702.44</v>
          </cell>
        </row>
        <row r="6059">
          <cell r="A6059" t="str">
            <v>71500-43029-00</v>
          </cell>
          <cell r="F6059">
            <v>-862.87</v>
          </cell>
        </row>
        <row r="6060">
          <cell r="A6060" t="str">
            <v>71500-43030-00</v>
          </cell>
          <cell r="F6060">
            <v>-4387.9399999999996</v>
          </cell>
        </row>
        <row r="6061">
          <cell r="A6061" t="str">
            <v>71500-43031-00</v>
          </cell>
          <cell r="F6061">
            <v>-1222.71</v>
          </cell>
        </row>
        <row r="6062">
          <cell r="A6062" t="str">
            <v>71500-43032-00</v>
          </cell>
          <cell r="F6062">
            <v>-1761.85</v>
          </cell>
        </row>
        <row r="6063">
          <cell r="A6063" t="str">
            <v>71500-43041-00</v>
          </cell>
          <cell r="F6063">
            <v>-1366.75</v>
          </cell>
        </row>
        <row r="6064">
          <cell r="A6064" t="str">
            <v>71500-45001-00</v>
          </cell>
          <cell r="F6064">
            <v>-1567.14</v>
          </cell>
        </row>
        <row r="6065">
          <cell r="A6065" t="str">
            <v>71500-45002-00</v>
          </cell>
          <cell r="F6065">
            <v>-8222.06</v>
          </cell>
        </row>
        <row r="6066">
          <cell r="A6066" t="str">
            <v>71500-45003-00</v>
          </cell>
          <cell r="F6066">
            <v>-27.9</v>
          </cell>
        </row>
        <row r="6067">
          <cell r="A6067" t="str">
            <v>71500-45005-00</v>
          </cell>
          <cell r="F6067">
            <v>-1104.49</v>
          </cell>
        </row>
        <row r="6068">
          <cell r="A6068" t="str">
            <v>71500-45009-00</v>
          </cell>
          <cell r="F6068">
            <v>-7.94</v>
          </cell>
        </row>
        <row r="6069">
          <cell r="A6069" t="str">
            <v>71500-45029-00</v>
          </cell>
          <cell r="F6069">
            <v>-1233.9100000000001</v>
          </cell>
        </row>
        <row r="6070">
          <cell r="A6070" t="str">
            <v>71500-45030-00</v>
          </cell>
          <cell r="F6070">
            <v>-885.14</v>
          </cell>
        </row>
        <row r="6071">
          <cell r="A6071" t="str">
            <v>71500-45031-00</v>
          </cell>
          <cell r="F6071">
            <v>-508.2</v>
          </cell>
        </row>
        <row r="6072">
          <cell r="A6072" t="str">
            <v>71500-45032-00</v>
          </cell>
          <cell r="F6072">
            <v>-90.91</v>
          </cell>
        </row>
        <row r="6073">
          <cell r="A6073" t="str">
            <v>71500-45052-00</v>
          </cell>
          <cell r="F6073">
            <v>0</v>
          </cell>
        </row>
        <row r="6074">
          <cell r="A6074" t="str">
            <v>71500-51001-00</v>
          </cell>
          <cell r="F6074">
            <v>-1711.01</v>
          </cell>
        </row>
        <row r="6075">
          <cell r="A6075" t="str">
            <v>71500-61030-00</v>
          </cell>
          <cell r="F6075">
            <v>-486.9</v>
          </cell>
        </row>
        <row r="6076">
          <cell r="A6076" t="str">
            <v>71500-61031-00</v>
          </cell>
          <cell r="F6076">
            <v>-1858.49</v>
          </cell>
        </row>
        <row r="6077">
          <cell r="A6077" t="str">
            <v>71500-62030-00</v>
          </cell>
          <cell r="F6077">
            <v>-6164.33</v>
          </cell>
        </row>
        <row r="6078">
          <cell r="A6078" t="str">
            <v>71500-62032-00</v>
          </cell>
          <cell r="F6078">
            <v>-25.9</v>
          </cell>
        </row>
        <row r="6079">
          <cell r="A6079" t="str">
            <v>71500-63030-00</v>
          </cell>
          <cell r="F6079">
            <v>-717.48</v>
          </cell>
        </row>
        <row r="6080">
          <cell r="A6080" t="str">
            <v>71500-63032-00</v>
          </cell>
          <cell r="F6080">
            <v>-786.03</v>
          </cell>
        </row>
        <row r="6081">
          <cell r="A6081" t="str">
            <v>71500-64032-00</v>
          </cell>
          <cell r="F6081">
            <v>-65.5</v>
          </cell>
        </row>
        <row r="6082">
          <cell r="A6082" t="str">
            <v>71500-83001-00</v>
          </cell>
          <cell r="F6082">
            <v>-10009.969999999999</v>
          </cell>
        </row>
        <row r="6083">
          <cell r="A6083" t="str">
            <v>71550-00000-00</v>
          </cell>
          <cell r="F6083">
            <v>0</v>
          </cell>
        </row>
        <row r="6084">
          <cell r="A6084" t="str">
            <v>71550-11001-00</v>
          </cell>
          <cell r="F6084">
            <v>11982.01</v>
          </cell>
        </row>
        <row r="6085">
          <cell r="A6085" t="str">
            <v>71550-14001-00</v>
          </cell>
          <cell r="F6085">
            <v>3120.41</v>
          </cell>
        </row>
        <row r="6086">
          <cell r="A6086" t="str">
            <v>71550-15001-00</v>
          </cell>
          <cell r="F6086">
            <v>23832.03</v>
          </cell>
        </row>
        <row r="6087">
          <cell r="A6087" t="str">
            <v>71550-31001-00</v>
          </cell>
          <cell r="F6087">
            <v>8077</v>
          </cell>
        </row>
        <row r="6088">
          <cell r="A6088" t="str">
            <v>71550-31010-00</v>
          </cell>
          <cell r="F6088">
            <v>0</v>
          </cell>
        </row>
        <row r="6089">
          <cell r="A6089" t="str">
            <v>71550-31011-00</v>
          </cell>
          <cell r="F6089">
            <v>0</v>
          </cell>
        </row>
        <row r="6090">
          <cell r="A6090" t="str">
            <v>71550-31012-00</v>
          </cell>
          <cell r="F6090">
            <v>0</v>
          </cell>
        </row>
        <row r="6091">
          <cell r="A6091" t="str">
            <v>71550-31017-00</v>
          </cell>
          <cell r="F6091">
            <v>0</v>
          </cell>
        </row>
        <row r="6092">
          <cell r="A6092" t="str">
            <v>71550-31018-00</v>
          </cell>
          <cell r="F6092">
            <v>0</v>
          </cell>
        </row>
        <row r="6093">
          <cell r="A6093" t="str">
            <v>71550-31019-00</v>
          </cell>
          <cell r="F6093">
            <v>0</v>
          </cell>
        </row>
        <row r="6094">
          <cell r="A6094" t="str">
            <v>71550-31023-00</v>
          </cell>
          <cell r="F6094">
            <v>0</v>
          </cell>
        </row>
        <row r="6095">
          <cell r="A6095" t="str">
            <v>71550-31030-00</v>
          </cell>
          <cell r="F6095">
            <v>0</v>
          </cell>
        </row>
        <row r="6096">
          <cell r="A6096" t="str">
            <v>71550-31031-00</v>
          </cell>
          <cell r="F6096">
            <v>0</v>
          </cell>
        </row>
        <row r="6097">
          <cell r="A6097" t="str">
            <v>71550-31043-00</v>
          </cell>
          <cell r="F6097">
            <v>0</v>
          </cell>
        </row>
        <row r="6098">
          <cell r="A6098" t="str">
            <v>71550-31055-00</v>
          </cell>
          <cell r="F6098">
            <v>0</v>
          </cell>
        </row>
        <row r="6099">
          <cell r="A6099" t="str">
            <v>71550-31065-00</v>
          </cell>
          <cell r="F6099">
            <v>0</v>
          </cell>
        </row>
        <row r="6100">
          <cell r="A6100" t="str">
            <v>71550-31066-00</v>
          </cell>
          <cell r="F6100">
            <v>0</v>
          </cell>
        </row>
        <row r="6101">
          <cell r="A6101" t="str">
            <v>71550-31067-00</v>
          </cell>
          <cell r="F6101">
            <v>0</v>
          </cell>
        </row>
        <row r="6102">
          <cell r="A6102" t="str">
            <v>71550-31068-00</v>
          </cell>
          <cell r="F6102">
            <v>0</v>
          </cell>
        </row>
        <row r="6103">
          <cell r="A6103" t="str">
            <v>71550-31069-00</v>
          </cell>
          <cell r="F6103">
            <v>0</v>
          </cell>
        </row>
        <row r="6104">
          <cell r="A6104" t="str">
            <v>71550-31070-00</v>
          </cell>
          <cell r="F6104">
            <v>0</v>
          </cell>
        </row>
        <row r="6105">
          <cell r="A6105" t="str">
            <v>71550-31071-00</v>
          </cell>
          <cell r="F6105">
            <v>0</v>
          </cell>
        </row>
        <row r="6106">
          <cell r="A6106" t="str">
            <v>71550-31072-00</v>
          </cell>
          <cell r="F6106">
            <v>0</v>
          </cell>
        </row>
        <row r="6107">
          <cell r="A6107" t="str">
            <v>71550-31074-00</v>
          </cell>
          <cell r="F6107">
            <v>0</v>
          </cell>
        </row>
        <row r="6108">
          <cell r="A6108" t="str">
            <v>71550-41001-00</v>
          </cell>
          <cell r="F6108">
            <v>6373.29</v>
          </cell>
        </row>
        <row r="6109">
          <cell r="A6109" t="str">
            <v>71550-41002-00</v>
          </cell>
          <cell r="F6109">
            <v>2443.23</v>
          </cell>
        </row>
        <row r="6110">
          <cell r="A6110" t="str">
            <v>71550-41003-00</v>
          </cell>
          <cell r="F6110">
            <v>4775.7700000000004</v>
          </cell>
        </row>
        <row r="6111">
          <cell r="A6111" t="str">
            <v>71550-41004-00</v>
          </cell>
          <cell r="F6111">
            <v>2383.94</v>
          </cell>
        </row>
        <row r="6112">
          <cell r="A6112" t="str">
            <v>71550-41005-00</v>
          </cell>
          <cell r="F6112">
            <v>160.83000000000001</v>
          </cell>
        </row>
        <row r="6113">
          <cell r="A6113" t="str">
            <v>71550-41009-00</v>
          </cell>
          <cell r="F6113">
            <v>292.45999999999998</v>
          </cell>
        </row>
        <row r="6114">
          <cell r="A6114" t="str">
            <v>71550-41029-00</v>
          </cell>
          <cell r="F6114">
            <v>151.31</v>
          </cell>
        </row>
        <row r="6115">
          <cell r="A6115" t="str">
            <v>71550-41030-00</v>
          </cell>
          <cell r="F6115">
            <v>311.66000000000003</v>
          </cell>
        </row>
        <row r="6116">
          <cell r="A6116" t="str">
            <v>71550-41031-00</v>
          </cell>
          <cell r="F6116">
            <v>948.78</v>
          </cell>
        </row>
        <row r="6117">
          <cell r="A6117" t="str">
            <v>71550-41032-00</v>
          </cell>
          <cell r="F6117">
            <v>254.96</v>
          </cell>
        </row>
        <row r="6118">
          <cell r="A6118" t="str">
            <v>71550-41041-00</v>
          </cell>
          <cell r="F6118">
            <v>7.15</v>
          </cell>
        </row>
        <row r="6119">
          <cell r="A6119" t="str">
            <v>71550-41049-00</v>
          </cell>
          <cell r="F6119">
            <v>126.03</v>
          </cell>
        </row>
        <row r="6120">
          <cell r="A6120" t="str">
            <v>71550-43001-00</v>
          </cell>
          <cell r="F6120">
            <v>1937.32</v>
          </cell>
        </row>
        <row r="6121">
          <cell r="A6121" t="str">
            <v>71550-43002-00</v>
          </cell>
          <cell r="F6121">
            <v>563</v>
          </cell>
        </row>
        <row r="6122">
          <cell r="A6122" t="str">
            <v>71550-43003-00</v>
          </cell>
          <cell r="F6122">
            <v>810.22</v>
          </cell>
        </row>
        <row r="6123">
          <cell r="A6123" t="str">
            <v>71550-43005-00</v>
          </cell>
          <cell r="F6123">
            <v>2117.23</v>
          </cell>
        </row>
        <row r="6124">
          <cell r="A6124" t="str">
            <v>71550-43009-00</v>
          </cell>
          <cell r="F6124">
            <v>526.82000000000005</v>
          </cell>
        </row>
        <row r="6125">
          <cell r="A6125" t="str">
            <v>71550-43029-00</v>
          </cell>
          <cell r="F6125">
            <v>107.4</v>
          </cell>
        </row>
        <row r="6126">
          <cell r="A6126" t="str">
            <v>71550-43030-00</v>
          </cell>
          <cell r="F6126">
            <v>192.83</v>
          </cell>
        </row>
        <row r="6127">
          <cell r="A6127" t="str">
            <v>71550-43031-00</v>
          </cell>
          <cell r="F6127">
            <v>119.11</v>
          </cell>
        </row>
        <row r="6128">
          <cell r="A6128" t="str">
            <v>71550-43032-00</v>
          </cell>
          <cell r="F6128">
            <v>410.91</v>
          </cell>
        </row>
        <row r="6129">
          <cell r="A6129" t="str">
            <v>71550-43041-00</v>
          </cell>
          <cell r="F6129">
            <v>622.9</v>
          </cell>
        </row>
        <row r="6130">
          <cell r="A6130" t="str">
            <v>71550-45001-00</v>
          </cell>
          <cell r="F6130">
            <v>852.16</v>
          </cell>
        </row>
        <row r="6131">
          <cell r="A6131" t="str">
            <v>71550-45002-00</v>
          </cell>
          <cell r="F6131">
            <v>5764.88</v>
          </cell>
        </row>
        <row r="6132">
          <cell r="A6132" t="str">
            <v>71550-45003-00</v>
          </cell>
          <cell r="F6132">
            <v>10.62</v>
          </cell>
        </row>
        <row r="6133">
          <cell r="A6133" t="str">
            <v>71550-45005-00</v>
          </cell>
          <cell r="F6133">
            <v>89.1</v>
          </cell>
        </row>
        <row r="6134">
          <cell r="A6134" t="str">
            <v>71550-45009-00</v>
          </cell>
          <cell r="F6134">
            <v>8.4499999999999993</v>
          </cell>
        </row>
        <row r="6135">
          <cell r="A6135" t="str">
            <v>71550-45029-00</v>
          </cell>
          <cell r="F6135">
            <v>23.57</v>
          </cell>
        </row>
        <row r="6136">
          <cell r="A6136" t="str">
            <v>71550-45030-00</v>
          </cell>
          <cell r="F6136">
            <v>27.35</v>
          </cell>
        </row>
        <row r="6137">
          <cell r="A6137" t="str">
            <v>71550-45031-00</v>
          </cell>
          <cell r="F6137">
            <v>55.52</v>
          </cell>
        </row>
        <row r="6138">
          <cell r="A6138" t="str">
            <v>71550-45032-00</v>
          </cell>
          <cell r="F6138">
            <v>0</v>
          </cell>
        </row>
        <row r="6139">
          <cell r="A6139" t="str">
            <v>71550-45052-00</v>
          </cell>
          <cell r="F6139">
            <v>0</v>
          </cell>
        </row>
        <row r="6140">
          <cell r="A6140" t="str">
            <v>71550-51001-00</v>
          </cell>
          <cell r="F6140">
            <v>221.74</v>
          </cell>
        </row>
        <row r="6141">
          <cell r="A6141" t="str">
            <v>71550-61030-00</v>
          </cell>
          <cell r="F6141">
            <v>18.23</v>
          </cell>
        </row>
        <row r="6142">
          <cell r="A6142" t="str">
            <v>71550-61031-00</v>
          </cell>
          <cell r="F6142">
            <v>617.54999999999995</v>
          </cell>
        </row>
        <row r="6143">
          <cell r="A6143" t="str">
            <v>71550-62030-00</v>
          </cell>
          <cell r="F6143">
            <v>2817.46</v>
          </cell>
        </row>
        <row r="6144">
          <cell r="A6144" t="str">
            <v>71550-62032-00</v>
          </cell>
          <cell r="F6144">
            <v>0</v>
          </cell>
        </row>
        <row r="6145">
          <cell r="A6145" t="str">
            <v>71550-63030-00</v>
          </cell>
          <cell r="F6145">
            <v>81.95</v>
          </cell>
        </row>
        <row r="6146">
          <cell r="A6146" t="str">
            <v>71550-63032-00</v>
          </cell>
          <cell r="F6146">
            <v>339.44</v>
          </cell>
        </row>
        <row r="6147">
          <cell r="A6147" t="str">
            <v>71550-64032-00</v>
          </cell>
          <cell r="F6147">
            <v>0</v>
          </cell>
        </row>
        <row r="6148">
          <cell r="A6148" t="str">
            <v>71550-83001-00</v>
          </cell>
          <cell r="F6148">
            <v>1699.85</v>
          </cell>
        </row>
        <row r="6149">
          <cell r="A6149" t="str">
            <v>72000-00000-00</v>
          </cell>
          <cell r="F6149">
            <v>0</v>
          </cell>
        </row>
        <row r="6150">
          <cell r="A6150" t="str">
            <v>72000-11001-00</v>
          </cell>
          <cell r="F6150">
            <v>0</v>
          </cell>
        </row>
        <row r="6151">
          <cell r="A6151" t="str">
            <v>72000-11005-00</v>
          </cell>
          <cell r="F6151">
            <v>0</v>
          </cell>
        </row>
        <row r="6152">
          <cell r="A6152" t="str">
            <v>72000-31028-00</v>
          </cell>
          <cell r="F6152">
            <v>-6600</v>
          </cell>
        </row>
        <row r="6153">
          <cell r="A6153" t="str">
            <v>72000-41001-00</v>
          </cell>
          <cell r="F6153">
            <v>-46200</v>
          </cell>
        </row>
        <row r="6154">
          <cell r="A6154" t="str">
            <v>72000-41002-00</v>
          </cell>
          <cell r="F6154">
            <v>-3830</v>
          </cell>
        </row>
        <row r="6155">
          <cell r="A6155" t="str">
            <v>72000-41003-00</v>
          </cell>
          <cell r="F6155">
            <v>0</v>
          </cell>
        </row>
        <row r="6156">
          <cell r="A6156" t="str">
            <v>72000-41004-00</v>
          </cell>
          <cell r="F6156">
            <v>0</v>
          </cell>
        </row>
        <row r="6157">
          <cell r="A6157" t="str">
            <v>72000-41005-00</v>
          </cell>
          <cell r="F6157">
            <v>0</v>
          </cell>
        </row>
        <row r="6158">
          <cell r="A6158" t="str">
            <v>72000-41009-00</v>
          </cell>
          <cell r="F6158">
            <v>0</v>
          </cell>
        </row>
        <row r="6159">
          <cell r="A6159" t="str">
            <v>72000-41029-00</v>
          </cell>
          <cell r="F6159">
            <v>0</v>
          </cell>
        </row>
        <row r="6160">
          <cell r="A6160" t="str">
            <v>72000-41030-00</v>
          </cell>
          <cell r="F6160">
            <v>0</v>
          </cell>
        </row>
        <row r="6161">
          <cell r="A6161" t="str">
            <v>72000-41031-00</v>
          </cell>
          <cell r="F6161">
            <v>0</v>
          </cell>
        </row>
        <row r="6162">
          <cell r="A6162" t="str">
            <v>72000-41032-00</v>
          </cell>
          <cell r="F6162">
            <v>0</v>
          </cell>
        </row>
        <row r="6163">
          <cell r="A6163" t="str">
            <v>72000-41041-00</v>
          </cell>
          <cell r="F6163">
            <v>0</v>
          </cell>
        </row>
        <row r="6164">
          <cell r="A6164" t="str">
            <v>72000-41049-00</v>
          </cell>
          <cell r="F6164">
            <v>0</v>
          </cell>
        </row>
        <row r="6165">
          <cell r="A6165" t="str">
            <v>72000-41052-00</v>
          </cell>
          <cell r="F6165">
            <v>0</v>
          </cell>
        </row>
        <row r="6166">
          <cell r="A6166" t="str">
            <v>72000-43001-00</v>
          </cell>
          <cell r="F6166">
            <v>0</v>
          </cell>
        </row>
        <row r="6167">
          <cell r="A6167" t="str">
            <v>72000-43002-00</v>
          </cell>
          <cell r="F6167">
            <v>0</v>
          </cell>
        </row>
        <row r="6168">
          <cell r="A6168" t="str">
            <v>72000-43003-00</v>
          </cell>
          <cell r="F6168">
            <v>0</v>
          </cell>
        </row>
        <row r="6169">
          <cell r="A6169" t="str">
            <v>72000-43005-00</v>
          </cell>
          <cell r="F6169">
            <v>0</v>
          </cell>
        </row>
        <row r="6170">
          <cell r="A6170" t="str">
            <v>72000-43009-00</v>
          </cell>
          <cell r="F6170">
            <v>0</v>
          </cell>
        </row>
        <row r="6171">
          <cell r="A6171" t="str">
            <v>72000-43029-00</v>
          </cell>
          <cell r="F6171">
            <v>0</v>
          </cell>
        </row>
        <row r="6172">
          <cell r="A6172" t="str">
            <v>72000-43030-00</v>
          </cell>
          <cell r="F6172">
            <v>0</v>
          </cell>
        </row>
        <row r="6173">
          <cell r="A6173" t="str">
            <v>72000-43031-00</v>
          </cell>
          <cell r="F6173">
            <v>0</v>
          </cell>
        </row>
        <row r="6174">
          <cell r="A6174" t="str">
            <v>72000-43032-00</v>
          </cell>
          <cell r="F6174">
            <v>0</v>
          </cell>
        </row>
        <row r="6175">
          <cell r="A6175" t="str">
            <v>72000-43041-00</v>
          </cell>
          <cell r="F6175">
            <v>0</v>
          </cell>
        </row>
        <row r="6176">
          <cell r="A6176" t="str">
            <v>72000-43052-00</v>
          </cell>
          <cell r="F6176">
            <v>0</v>
          </cell>
        </row>
        <row r="6177">
          <cell r="A6177" t="str">
            <v>72000-45001-00</v>
          </cell>
          <cell r="F6177">
            <v>0</v>
          </cell>
        </row>
        <row r="6178">
          <cell r="A6178" t="str">
            <v>72000-45002-00</v>
          </cell>
          <cell r="F6178">
            <v>0</v>
          </cell>
        </row>
        <row r="6179">
          <cell r="A6179" t="str">
            <v>72000-45003-00</v>
          </cell>
          <cell r="F6179">
            <v>0</v>
          </cell>
        </row>
        <row r="6180">
          <cell r="A6180" t="str">
            <v>72000-45005-00</v>
          </cell>
          <cell r="F6180">
            <v>0</v>
          </cell>
        </row>
        <row r="6181">
          <cell r="A6181" t="str">
            <v>72000-45009-00</v>
          </cell>
          <cell r="F6181">
            <v>0</v>
          </cell>
        </row>
        <row r="6182">
          <cell r="A6182" t="str">
            <v>72000-45029-00</v>
          </cell>
          <cell r="F6182">
            <v>0</v>
          </cell>
        </row>
        <row r="6183">
          <cell r="A6183" t="str">
            <v>72000-45030-00</v>
          </cell>
          <cell r="F6183">
            <v>0</v>
          </cell>
        </row>
        <row r="6184">
          <cell r="A6184" t="str">
            <v>72000-45031-00</v>
          </cell>
          <cell r="F6184">
            <v>0</v>
          </cell>
        </row>
        <row r="6185">
          <cell r="A6185" t="str">
            <v>72000-45032-00</v>
          </cell>
          <cell r="F6185">
            <v>0</v>
          </cell>
        </row>
        <row r="6186">
          <cell r="A6186" t="str">
            <v>72000-45052-00</v>
          </cell>
          <cell r="F6186">
            <v>0</v>
          </cell>
        </row>
        <row r="6187">
          <cell r="A6187" t="str">
            <v>72000-53001-00</v>
          </cell>
          <cell r="F6187">
            <v>-48000</v>
          </cell>
        </row>
        <row r="6188">
          <cell r="A6188" t="str">
            <v>72000-61030-00</v>
          </cell>
          <cell r="F6188">
            <v>0</v>
          </cell>
        </row>
        <row r="6189">
          <cell r="A6189" t="str">
            <v>72000-61031-00</v>
          </cell>
          <cell r="F6189">
            <v>0</v>
          </cell>
        </row>
        <row r="6190">
          <cell r="A6190" t="str">
            <v>72000-62030-00</v>
          </cell>
          <cell r="F6190">
            <v>0</v>
          </cell>
        </row>
        <row r="6191">
          <cell r="A6191" t="str">
            <v>72000-62032-00</v>
          </cell>
          <cell r="F6191">
            <v>0</v>
          </cell>
        </row>
        <row r="6192">
          <cell r="A6192" t="str">
            <v>72000-63030-00</v>
          </cell>
          <cell r="F6192">
            <v>0</v>
          </cell>
        </row>
        <row r="6193">
          <cell r="A6193" t="str">
            <v>72000-63032-00</v>
          </cell>
          <cell r="F6193">
            <v>0</v>
          </cell>
        </row>
        <row r="6194">
          <cell r="A6194" t="str">
            <v>72000-64032-00</v>
          </cell>
          <cell r="F6194">
            <v>0</v>
          </cell>
        </row>
        <row r="6195">
          <cell r="A6195" t="str">
            <v>72000-83001-00</v>
          </cell>
          <cell r="F6195">
            <v>0</v>
          </cell>
        </row>
        <row r="6196">
          <cell r="A6196" t="str">
            <v>73000-00000-00</v>
          </cell>
          <cell r="F6196">
            <v>0</v>
          </cell>
        </row>
        <row r="6197">
          <cell r="A6197" t="str">
            <v>73000-11001-00</v>
          </cell>
          <cell r="F6197">
            <v>0</v>
          </cell>
        </row>
        <row r="6198">
          <cell r="A6198" t="str">
            <v>73000-11005-00</v>
          </cell>
          <cell r="F6198">
            <v>0</v>
          </cell>
        </row>
        <row r="6199">
          <cell r="A6199" t="str">
            <v>73000-13006-00</v>
          </cell>
          <cell r="F6199">
            <v>0</v>
          </cell>
        </row>
        <row r="6200">
          <cell r="A6200" t="str">
            <v>73000-13007-00</v>
          </cell>
          <cell r="F6200">
            <v>0</v>
          </cell>
        </row>
        <row r="6201">
          <cell r="A6201" t="str">
            <v>73000-14049-00</v>
          </cell>
          <cell r="F6201">
            <v>0</v>
          </cell>
        </row>
        <row r="6202">
          <cell r="A6202" t="str">
            <v>73000-15001-00</v>
          </cell>
          <cell r="F6202">
            <v>-31836.75</v>
          </cell>
        </row>
        <row r="6203">
          <cell r="A6203" t="str">
            <v>73000-15005-00</v>
          </cell>
          <cell r="F6203">
            <v>0</v>
          </cell>
        </row>
        <row r="6204">
          <cell r="A6204" t="str">
            <v>73000-31000-00</v>
          </cell>
          <cell r="F6204">
            <v>0</v>
          </cell>
        </row>
        <row r="6205">
          <cell r="A6205" t="str">
            <v>73000-31001-00</v>
          </cell>
          <cell r="F6205">
            <v>-1000</v>
          </cell>
        </row>
        <row r="6206">
          <cell r="A6206" t="str">
            <v>73000-31010-00</v>
          </cell>
          <cell r="F6206">
            <v>0</v>
          </cell>
        </row>
        <row r="6207">
          <cell r="A6207" t="str">
            <v>73000-31011-00</v>
          </cell>
          <cell r="F6207">
            <v>0</v>
          </cell>
        </row>
        <row r="6208">
          <cell r="A6208" t="str">
            <v>73000-31012-00</v>
          </cell>
          <cell r="F6208">
            <v>0</v>
          </cell>
        </row>
        <row r="6209">
          <cell r="A6209" t="str">
            <v>73000-31013-00</v>
          </cell>
          <cell r="F6209">
            <v>0</v>
          </cell>
        </row>
        <row r="6210">
          <cell r="A6210" t="str">
            <v>73000-31014-00</v>
          </cell>
          <cell r="F6210">
            <v>0</v>
          </cell>
        </row>
        <row r="6211">
          <cell r="A6211" t="str">
            <v>73000-31015-00</v>
          </cell>
          <cell r="F6211">
            <v>0</v>
          </cell>
        </row>
        <row r="6212">
          <cell r="A6212" t="str">
            <v>73000-31016-00</v>
          </cell>
          <cell r="F6212">
            <v>0</v>
          </cell>
        </row>
        <row r="6213">
          <cell r="A6213" t="str">
            <v>73000-31017-00</v>
          </cell>
          <cell r="F6213">
            <v>0</v>
          </cell>
        </row>
        <row r="6214">
          <cell r="A6214" t="str">
            <v>73000-31018-00</v>
          </cell>
          <cell r="F6214">
            <v>0</v>
          </cell>
        </row>
        <row r="6215">
          <cell r="A6215" t="str">
            <v>73000-31019-00</v>
          </cell>
          <cell r="F6215">
            <v>0</v>
          </cell>
        </row>
        <row r="6216">
          <cell r="A6216" t="str">
            <v>73000-31020-00</v>
          </cell>
          <cell r="F6216">
            <v>0</v>
          </cell>
        </row>
        <row r="6217">
          <cell r="A6217" t="str">
            <v>73000-31021-00</v>
          </cell>
          <cell r="F6217">
            <v>0</v>
          </cell>
        </row>
        <row r="6218">
          <cell r="A6218" t="str">
            <v>73000-31022-00</v>
          </cell>
          <cell r="F6218">
            <v>0</v>
          </cell>
        </row>
        <row r="6219">
          <cell r="A6219" t="str">
            <v>73000-31023-00</v>
          </cell>
          <cell r="F6219">
            <v>0</v>
          </cell>
        </row>
        <row r="6220">
          <cell r="A6220" t="str">
            <v>73000-31024-00</v>
          </cell>
          <cell r="F6220">
            <v>0</v>
          </cell>
        </row>
        <row r="6221">
          <cell r="A6221" t="str">
            <v>73000-31025-00</v>
          </cell>
          <cell r="F6221">
            <v>0</v>
          </cell>
        </row>
        <row r="6222">
          <cell r="A6222" t="str">
            <v>73000-31026-00</v>
          </cell>
          <cell r="F6222">
            <v>8722.6</v>
          </cell>
        </row>
        <row r="6223">
          <cell r="A6223" t="str">
            <v>73000-31027-00</v>
          </cell>
          <cell r="F6223">
            <v>0</v>
          </cell>
        </row>
        <row r="6224">
          <cell r="A6224" t="str">
            <v>73000-31028-00</v>
          </cell>
          <cell r="F6224">
            <v>0</v>
          </cell>
        </row>
        <row r="6225">
          <cell r="A6225" t="str">
            <v>73000-31029-00</v>
          </cell>
          <cell r="F6225">
            <v>38750</v>
          </cell>
        </row>
        <row r="6226">
          <cell r="A6226" t="str">
            <v>73000-31030-00</v>
          </cell>
          <cell r="F6226">
            <v>0</v>
          </cell>
        </row>
        <row r="6227">
          <cell r="A6227" t="str">
            <v>73000-31031-00</v>
          </cell>
          <cell r="F6227">
            <v>0</v>
          </cell>
        </row>
        <row r="6228">
          <cell r="A6228" t="str">
            <v>73000-31032-00</v>
          </cell>
          <cell r="F6228">
            <v>54502.38</v>
          </cell>
        </row>
        <row r="6229">
          <cell r="A6229" t="str">
            <v>73000-31033-00</v>
          </cell>
          <cell r="F6229">
            <v>0</v>
          </cell>
        </row>
        <row r="6230">
          <cell r="A6230" t="str">
            <v>73000-31034-00</v>
          </cell>
          <cell r="F6230">
            <v>0</v>
          </cell>
        </row>
        <row r="6231">
          <cell r="A6231" t="str">
            <v>73000-31035-00</v>
          </cell>
          <cell r="F6231">
            <v>0</v>
          </cell>
        </row>
        <row r="6232">
          <cell r="A6232" t="str">
            <v>73000-31036-00</v>
          </cell>
          <cell r="F6232">
            <v>0</v>
          </cell>
        </row>
        <row r="6233">
          <cell r="A6233" t="str">
            <v>73000-31037-00</v>
          </cell>
          <cell r="F6233">
            <v>0</v>
          </cell>
        </row>
        <row r="6234">
          <cell r="A6234" t="str">
            <v>73000-31038-00</v>
          </cell>
          <cell r="F6234">
            <v>0</v>
          </cell>
        </row>
        <row r="6235">
          <cell r="A6235" t="str">
            <v>73000-31039-00</v>
          </cell>
          <cell r="F6235">
            <v>0</v>
          </cell>
        </row>
        <row r="6236">
          <cell r="A6236" t="str">
            <v>73000-31040-00</v>
          </cell>
          <cell r="F6236">
            <v>0</v>
          </cell>
        </row>
        <row r="6237">
          <cell r="A6237" t="str">
            <v>73000-31041-00</v>
          </cell>
          <cell r="F6237">
            <v>0</v>
          </cell>
        </row>
        <row r="6238">
          <cell r="A6238" t="str">
            <v>73000-31042-00</v>
          </cell>
          <cell r="F6238">
            <v>0</v>
          </cell>
        </row>
        <row r="6239">
          <cell r="A6239" t="str">
            <v>73000-31043-00</v>
          </cell>
          <cell r="F6239">
            <v>0</v>
          </cell>
        </row>
        <row r="6240">
          <cell r="A6240" t="str">
            <v>73000-31044-00</v>
          </cell>
          <cell r="F6240">
            <v>0</v>
          </cell>
        </row>
        <row r="6241">
          <cell r="A6241" t="str">
            <v>73000-31045-00</v>
          </cell>
          <cell r="F6241">
            <v>0</v>
          </cell>
        </row>
        <row r="6242">
          <cell r="A6242" t="str">
            <v>73000-31046-00</v>
          </cell>
          <cell r="F6242">
            <v>0</v>
          </cell>
        </row>
        <row r="6243">
          <cell r="A6243" t="str">
            <v>73000-31047-00</v>
          </cell>
          <cell r="F6243">
            <v>0</v>
          </cell>
        </row>
        <row r="6244">
          <cell r="A6244" t="str">
            <v>73000-31048-00</v>
          </cell>
          <cell r="F6244">
            <v>0</v>
          </cell>
        </row>
        <row r="6245">
          <cell r="A6245" t="str">
            <v>73000-31049-00</v>
          </cell>
          <cell r="F6245">
            <v>0</v>
          </cell>
        </row>
        <row r="6246">
          <cell r="A6246" t="str">
            <v>73000-31050-00</v>
          </cell>
          <cell r="F6246">
            <v>0</v>
          </cell>
        </row>
        <row r="6247">
          <cell r="A6247" t="str">
            <v>73000-31051-00</v>
          </cell>
          <cell r="F6247">
            <v>0</v>
          </cell>
        </row>
        <row r="6248">
          <cell r="A6248" t="str">
            <v>73000-31053-00</v>
          </cell>
          <cell r="F6248">
            <v>0</v>
          </cell>
        </row>
        <row r="6249">
          <cell r="A6249" t="str">
            <v>73000-31054-00</v>
          </cell>
          <cell r="F6249">
            <v>0</v>
          </cell>
        </row>
        <row r="6250">
          <cell r="A6250" t="str">
            <v>73000-31055-00</v>
          </cell>
          <cell r="F6250">
            <v>0</v>
          </cell>
        </row>
        <row r="6251">
          <cell r="A6251" t="str">
            <v>73000-31056-00</v>
          </cell>
          <cell r="F6251">
            <v>0</v>
          </cell>
        </row>
        <row r="6252">
          <cell r="A6252" t="str">
            <v>73000-31057-00</v>
          </cell>
          <cell r="F6252">
            <v>0</v>
          </cell>
        </row>
        <row r="6253">
          <cell r="A6253" t="str">
            <v>73000-31058-00</v>
          </cell>
          <cell r="F6253">
            <v>0</v>
          </cell>
        </row>
        <row r="6254">
          <cell r="A6254" t="str">
            <v>73000-31059-00</v>
          </cell>
          <cell r="F6254">
            <v>0</v>
          </cell>
        </row>
        <row r="6255">
          <cell r="A6255" t="str">
            <v>73000-31060-00</v>
          </cell>
          <cell r="F6255">
            <v>0</v>
          </cell>
        </row>
        <row r="6256">
          <cell r="A6256" t="str">
            <v>73000-31061-00</v>
          </cell>
          <cell r="F6256">
            <v>0</v>
          </cell>
        </row>
        <row r="6257">
          <cell r="A6257" t="str">
            <v>73000-31062-00</v>
          </cell>
          <cell r="F6257">
            <v>0</v>
          </cell>
        </row>
        <row r="6258">
          <cell r="A6258" t="str">
            <v>73000-31063-00</v>
          </cell>
          <cell r="F6258">
            <v>0</v>
          </cell>
        </row>
        <row r="6259">
          <cell r="A6259" t="str">
            <v>73000-31064-00</v>
          </cell>
          <cell r="F6259">
            <v>0</v>
          </cell>
        </row>
        <row r="6260">
          <cell r="A6260" t="str">
            <v>73000-31065-00</v>
          </cell>
          <cell r="F6260">
            <v>0</v>
          </cell>
        </row>
        <row r="6261">
          <cell r="A6261" t="str">
            <v>73000-31066-00</v>
          </cell>
          <cell r="F6261">
            <v>0</v>
          </cell>
        </row>
        <row r="6262">
          <cell r="A6262" t="str">
            <v>73000-31067-00</v>
          </cell>
          <cell r="F6262">
            <v>0</v>
          </cell>
        </row>
        <row r="6263">
          <cell r="A6263" t="str">
            <v>73000-31068-00</v>
          </cell>
          <cell r="F6263">
            <v>0</v>
          </cell>
        </row>
        <row r="6264">
          <cell r="A6264" t="str">
            <v>73000-31069-00</v>
          </cell>
          <cell r="F6264">
            <v>0</v>
          </cell>
        </row>
        <row r="6265">
          <cell r="A6265" t="str">
            <v>73000-31070-00</v>
          </cell>
          <cell r="F6265">
            <v>0</v>
          </cell>
        </row>
        <row r="6266">
          <cell r="A6266" t="str">
            <v>73000-31071-00</v>
          </cell>
          <cell r="F6266">
            <v>0</v>
          </cell>
        </row>
        <row r="6267">
          <cell r="A6267" t="str">
            <v>73000-31072-00</v>
          </cell>
          <cell r="F6267">
            <v>0</v>
          </cell>
        </row>
        <row r="6268">
          <cell r="A6268" t="str">
            <v>73000-31073-00</v>
          </cell>
          <cell r="F6268">
            <v>0</v>
          </cell>
        </row>
        <row r="6269">
          <cell r="A6269" t="str">
            <v>73000-31074-00</v>
          </cell>
          <cell r="F6269">
            <v>0</v>
          </cell>
        </row>
        <row r="6270">
          <cell r="A6270" t="str">
            <v>73000-31075-00</v>
          </cell>
          <cell r="F6270">
            <v>0</v>
          </cell>
        </row>
        <row r="6271">
          <cell r="A6271" t="str">
            <v>73000-31076-00</v>
          </cell>
          <cell r="F6271">
            <v>0</v>
          </cell>
        </row>
        <row r="6272">
          <cell r="A6272" t="str">
            <v>73000-31077-00</v>
          </cell>
          <cell r="F6272">
            <v>0</v>
          </cell>
        </row>
        <row r="6273">
          <cell r="A6273" t="str">
            <v>73000-31078-00</v>
          </cell>
          <cell r="F6273">
            <v>0</v>
          </cell>
        </row>
        <row r="6274">
          <cell r="A6274" t="str">
            <v>73000-41001-00</v>
          </cell>
          <cell r="F6274">
            <v>-30000</v>
          </cell>
        </row>
        <row r="6275">
          <cell r="A6275" t="str">
            <v>73000-41002-00</v>
          </cell>
          <cell r="F6275">
            <v>0</v>
          </cell>
        </row>
        <row r="6276">
          <cell r="A6276" t="str">
            <v>73000-41003-00</v>
          </cell>
          <cell r="F6276">
            <v>-3500</v>
          </cell>
        </row>
        <row r="6277">
          <cell r="A6277" t="str">
            <v>73000-41004-00</v>
          </cell>
          <cell r="F6277">
            <v>0</v>
          </cell>
        </row>
        <row r="6278">
          <cell r="A6278" t="str">
            <v>73000-41005-00</v>
          </cell>
          <cell r="F6278">
            <v>0</v>
          </cell>
        </row>
        <row r="6279">
          <cell r="A6279" t="str">
            <v>73000-41009-00</v>
          </cell>
          <cell r="F6279">
            <v>0</v>
          </cell>
        </row>
        <row r="6280">
          <cell r="A6280" t="str">
            <v>73000-41029-00</v>
          </cell>
          <cell r="F6280">
            <v>-2500</v>
          </cell>
        </row>
        <row r="6281">
          <cell r="A6281" t="str">
            <v>73000-41030-00</v>
          </cell>
          <cell r="F6281">
            <v>-500</v>
          </cell>
        </row>
        <row r="6282">
          <cell r="A6282" t="str">
            <v>73000-41031-00</v>
          </cell>
          <cell r="F6282">
            <v>0</v>
          </cell>
        </row>
        <row r="6283">
          <cell r="A6283" t="str">
            <v>73000-41032-00</v>
          </cell>
          <cell r="F6283">
            <v>0</v>
          </cell>
        </row>
        <row r="6284">
          <cell r="A6284" t="str">
            <v>73000-41041-00</v>
          </cell>
          <cell r="F6284">
            <v>0</v>
          </cell>
        </row>
        <row r="6285">
          <cell r="A6285" t="str">
            <v>73000-41049-00</v>
          </cell>
          <cell r="F6285">
            <v>14435.97</v>
          </cell>
        </row>
        <row r="6286">
          <cell r="A6286" t="str">
            <v>73000-41052-00</v>
          </cell>
          <cell r="F6286">
            <v>0</v>
          </cell>
        </row>
        <row r="6287">
          <cell r="A6287" t="str">
            <v>73000-43001-00</v>
          </cell>
          <cell r="F6287">
            <v>0</v>
          </cell>
        </row>
        <row r="6288">
          <cell r="A6288" t="str">
            <v>73000-43002-00</v>
          </cell>
          <cell r="F6288">
            <v>0</v>
          </cell>
        </row>
        <row r="6289">
          <cell r="A6289" t="str">
            <v>73000-43003-00</v>
          </cell>
          <cell r="F6289">
            <v>0</v>
          </cell>
        </row>
        <row r="6290">
          <cell r="A6290" t="str">
            <v>73000-43005-00</v>
          </cell>
          <cell r="F6290">
            <v>0</v>
          </cell>
        </row>
        <row r="6291">
          <cell r="A6291" t="str">
            <v>73000-43009-00</v>
          </cell>
          <cell r="F6291">
            <v>0</v>
          </cell>
        </row>
        <row r="6292">
          <cell r="A6292" t="str">
            <v>73000-43029-00</v>
          </cell>
          <cell r="F6292">
            <v>0</v>
          </cell>
        </row>
        <row r="6293">
          <cell r="A6293" t="str">
            <v>73000-43030-00</v>
          </cell>
          <cell r="F6293">
            <v>0</v>
          </cell>
        </row>
        <row r="6294">
          <cell r="A6294" t="str">
            <v>73000-43031-00</v>
          </cell>
          <cell r="F6294">
            <v>0</v>
          </cell>
        </row>
        <row r="6295">
          <cell r="A6295" t="str">
            <v>73000-43032-00</v>
          </cell>
          <cell r="F6295">
            <v>0</v>
          </cell>
        </row>
        <row r="6296">
          <cell r="A6296" t="str">
            <v>73000-43041-00</v>
          </cell>
          <cell r="F6296">
            <v>0</v>
          </cell>
        </row>
        <row r="6297">
          <cell r="A6297" t="str">
            <v>73000-43052-00</v>
          </cell>
          <cell r="F6297">
            <v>0</v>
          </cell>
        </row>
        <row r="6298">
          <cell r="A6298" t="str">
            <v>73000-45001-00</v>
          </cell>
          <cell r="F6298">
            <v>0</v>
          </cell>
        </row>
        <row r="6299">
          <cell r="A6299" t="str">
            <v>73000-45002-00</v>
          </cell>
          <cell r="F6299">
            <v>0</v>
          </cell>
        </row>
        <row r="6300">
          <cell r="A6300" t="str">
            <v>73000-45003-00</v>
          </cell>
          <cell r="F6300">
            <v>0</v>
          </cell>
        </row>
        <row r="6301">
          <cell r="A6301" t="str">
            <v>73000-45005-00</v>
          </cell>
          <cell r="F6301">
            <v>0</v>
          </cell>
        </row>
        <row r="6302">
          <cell r="A6302" t="str">
            <v>73000-45009-00</v>
          </cell>
          <cell r="F6302">
            <v>0</v>
          </cell>
        </row>
        <row r="6303">
          <cell r="A6303" t="str">
            <v>73000-45029-00</v>
          </cell>
          <cell r="F6303">
            <v>0</v>
          </cell>
        </row>
        <row r="6304">
          <cell r="A6304" t="str">
            <v>73000-45030-00</v>
          </cell>
          <cell r="F6304">
            <v>0</v>
          </cell>
        </row>
        <row r="6305">
          <cell r="A6305" t="str">
            <v>73000-45031-00</v>
          </cell>
          <cell r="F6305">
            <v>0</v>
          </cell>
        </row>
        <row r="6306">
          <cell r="A6306" t="str">
            <v>73000-45032-00</v>
          </cell>
          <cell r="F6306">
            <v>0</v>
          </cell>
        </row>
        <row r="6307">
          <cell r="A6307" t="str">
            <v>73000-45052-00</v>
          </cell>
          <cell r="F6307">
            <v>0</v>
          </cell>
        </row>
        <row r="6308">
          <cell r="A6308" t="str">
            <v>73000-51001-00</v>
          </cell>
          <cell r="F6308">
            <v>-462798.94</v>
          </cell>
        </row>
        <row r="6309">
          <cell r="A6309" t="str">
            <v>73000-51005-00</v>
          </cell>
          <cell r="F6309">
            <v>0</v>
          </cell>
        </row>
        <row r="6310">
          <cell r="A6310" t="str">
            <v>73000-53001-00</v>
          </cell>
          <cell r="F6310">
            <v>0</v>
          </cell>
        </row>
        <row r="6311">
          <cell r="A6311" t="str">
            <v>73000-61030-00</v>
          </cell>
          <cell r="F6311">
            <v>0</v>
          </cell>
        </row>
        <row r="6312">
          <cell r="A6312" t="str">
            <v>73000-61031-00</v>
          </cell>
          <cell r="F6312">
            <v>0</v>
          </cell>
        </row>
        <row r="6313">
          <cell r="A6313" t="str">
            <v>73000-62030-00</v>
          </cell>
          <cell r="F6313">
            <v>0</v>
          </cell>
        </row>
        <row r="6314">
          <cell r="A6314" t="str">
            <v>73000-62032-00</v>
          </cell>
          <cell r="F6314">
            <v>0</v>
          </cell>
        </row>
        <row r="6315">
          <cell r="A6315" t="str">
            <v>73000-63030-00</v>
          </cell>
          <cell r="F6315">
            <v>0</v>
          </cell>
        </row>
        <row r="6316">
          <cell r="A6316" t="str">
            <v>73000-63032-00</v>
          </cell>
          <cell r="F6316">
            <v>0</v>
          </cell>
        </row>
        <row r="6317">
          <cell r="A6317" t="str">
            <v>73000-64032-00</v>
          </cell>
          <cell r="F6317">
            <v>0</v>
          </cell>
        </row>
        <row r="6318">
          <cell r="A6318" t="str">
            <v>73000-81001-00</v>
          </cell>
          <cell r="F6318">
            <v>0</v>
          </cell>
        </row>
        <row r="6319">
          <cell r="A6319" t="str">
            <v>73000-81005-00</v>
          </cell>
          <cell r="F6319">
            <v>0</v>
          </cell>
        </row>
        <row r="6320">
          <cell r="A6320" t="str">
            <v>73000-83001-00</v>
          </cell>
          <cell r="F6320">
            <v>0</v>
          </cell>
        </row>
        <row r="6321">
          <cell r="A6321" t="str">
            <v>73000-84001-00</v>
          </cell>
          <cell r="F6321">
            <v>0</v>
          </cell>
        </row>
        <row r="6322">
          <cell r="A6322" t="str">
            <v>73000-85001-00</v>
          </cell>
          <cell r="F6322">
            <v>0</v>
          </cell>
        </row>
        <row r="6323">
          <cell r="A6323" t="str">
            <v>73200-45001-00</v>
          </cell>
          <cell r="F6323">
            <v>-15177.38</v>
          </cell>
        </row>
        <row r="6324">
          <cell r="A6324" t="str">
            <v>73200-45002-00</v>
          </cell>
          <cell r="F6324">
            <v>-71695.070000000007</v>
          </cell>
        </row>
        <row r="6325">
          <cell r="A6325" t="str">
            <v>73200-45003-00</v>
          </cell>
          <cell r="F6325">
            <v>0</v>
          </cell>
        </row>
        <row r="6326">
          <cell r="A6326" t="str">
            <v>73200-45005-00</v>
          </cell>
          <cell r="F6326">
            <v>-4193.01</v>
          </cell>
        </row>
        <row r="6327">
          <cell r="A6327" t="str">
            <v>73200-45009-00</v>
          </cell>
          <cell r="F6327">
            <v>0</v>
          </cell>
        </row>
        <row r="6328">
          <cell r="A6328" t="str">
            <v>73200-45029-00</v>
          </cell>
          <cell r="F6328">
            <v>-17505.009999999998</v>
          </cell>
        </row>
        <row r="6329">
          <cell r="A6329" t="str">
            <v>73200-45030-00</v>
          </cell>
          <cell r="F6329">
            <v>0</v>
          </cell>
        </row>
        <row r="6330">
          <cell r="A6330" t="str">
            <v>73200-45031-00</v>
          </cell>
          <cell r="F6330">
            <v>0</v>
          </cell>
        </row>
        <row r="6331">
          <cell r="A6331" t="str">
            <v>73200-45032-00</v>
          </cell>
          <cell r="F6331">
            <v>0</v>
          </cell>
        </row>
        <row r="6332">
          <cell r="A6332" t="str">
            <v>73200-45052-00</v>
          </cell>
          <cell r="F6332">
            <v>0</v>
          </cell>
        </row>
        <row r="6333">
          <cell r="A6333" t="str">
            <v>73200-61030-00</v>
          </cell>
          <cell r="F6333">
            <v>0</v>
          </cell>
        </row>
        <row r="6334">
          <cell r="A6334" t="str">
            <v>73200-61031-00</v>
          </cell>
          <cell r="F6334">
            <v>0</v>
          </cell>
        </row>
        <row r="6335">
          <cell r="A6335" t="str">
            <v>73200-62030-00</v>
          </cell>
          <cell r="F6335">
            <v>0</v>
          </cell>
        </row>
        <row r="6336">
          <cell r="A6336" t="str">
            <v>73200-62032-00</v>
          </cell>
          <cell r="F6336">
            <v>0</v>
          </cell>
        </row>
        <row r="6337">
          <cell r="A6337" t="str">
            <v>73200-63030-00</v>
          </cell>
          <cell r="F6337">
            <v>0</v>
          </cell>
        </row>
        <row r="6338">
          <cell r="A6338" t="str">
            <v>73200-63032-00</v>
          </cell>
          <cell r="F6338">
            <v>0</v>
          </cell>
        </row>
        <row r="6339">
          <cell r="A6339" t="str">
            <v>73200-64032-00</v>
          </cell>
          <cell r="F6339">
            <v>0</v>
          </cell>
        </row>
        <row r="6340">
          <cell r="A6340" t="str">
            <v>73200-83001-00</v>
          </cell>
          <cell r="F6340">
            <v>0</v>
          </cell>
        </row>
        <row r="6341">
          <cell r="A6341" t="str">
            <v>73300-00000-00</v>
          </cell>
          <cell r="F6341">
            <v>0</v>
          </cell>
        </row>
        <row r="6342">
          <cell r="A6342" t="str">
            <v>73300-83001-00</v>
          </cell>
          <cell r="F6342">
            <v>0</v>
          </cell>
        </row>
        <row r="6343">
          <cell r="A6343" t="str">
            <v>73300-89001-00</v>
          </cell>
          <cell r="F6343">
            <v>-23673.040000000001</v>
          </cell>
        </row>
        <row r="6344">
          <cell r="A6344" t="str">
            <v>73310-89001-00</v>
          </cell>
          <cell r="F6344">
            <v>0</v>
          </cell>
        </row>
        <row r="6345">
          <cell r="A6345" t="str">
            <v>73500-00000-00</v>
          </cell>
          <cell r="F6345">
            <v>0</v>
          </cell>
        </row>
        <row r="6346">
          <cell r="A6346" t="str">
            <v>73500-11001-00</v>
          </cell>
          <cell r="F6346">
            <v>-133127.34</v>
          </cell>
        </row>
        <row r="6347">
          <cell r="A6347" t="str">
            <v>73500-11005-00</v>
          </cell>
          <cell r="F6347">
            <v>0</v>
          </cell>
        </row>
        <row r="6348">
          <cell r="A6348" t="str">
            <v>73500-13006-00</v>
          </cell>
          <cell r="F6348">
            <v>0</v>
          </cell>
        </row>
        <row r="6349">
          <cell r="A6349" t="str">
            <v>73500-13007-00</v>
          </cell>
          <cell r="F6349">
            <v>0</v>
          </cell>
        </row>
        <row r="6350">
          <cell r="A6350" t="str">
            <v>73500-14001-00</v>
          </cell>
          <cell r="F6350">
            <v>0</v>
          </cell>
        </row>
        <row r="6351">
          <cell r="A6351" t="str">
            <v>73500-14049-00</v>
          </cell>
          <cell r="F6351">
            <v>0</v>
          </cell>
        </row>
        <row r="6352">
          <cell r="A6352" t="str">
            <v>73500-15001-00</v>
          </cell>
          <cell r="F6352">
            <v>-51661.83</v>
          </cell>
        </row>
        <row r="6353">
          <cell r="A6353" t="str">
            <v>73500-15005-00</v>
          </cell>
          <cell r="F6353">
            <v>0</v>
          </cell>
        </row>
        <row r="6354">
          <cell r="A6354" t="str">
            <v>73500-31000-00</v>
          </cell>
          <cell r="F6354">
            <v>0</v>
          </cell>
        </row>
        <row r="6355">
          <cell r="A6355" t="str">
            <v>73500-31001-00</v>
          </cell>
          <cell r="F6355">
            <v>-60189.91</v>
          </cell>
        </row>
        <row r="6356">
          <cell r="A6356" t="str">
            <v>73500-31010-00</v>
          </cell>
          <cell r="F6356">
            <v>0</v>
          </cell>
        </row>
        <row r="6357">
          <cell r="A6357" t="str">
            <v>73500-31011-00</v>
          </cell>
          <cell r="F6357">
            <v>-1699.52</v>
          </cell>
        </row>
        <row r="6358">
          <cell r="A6358" t="str">
            <v>73500-31012-00</v>
          </cell>
          <cell r="F6358">
            <v>0</v>
          </cell>
        </row>
        <row r="6359">
          <cell r="A6359" t="str">
            <v>73500-31013-00</v>
          </cell>
          <cell r="F6359">
            <v>0</v>
          </cell>
        </row>
        <row r="6360">
          <cell r="A6360" t="str">
            <v>73500-31014-00</v>
          </cell>
          <cell r="F6360">
            <v>0</v>
          </cell>
        </row>
        <row r="6361">
          <cell r="A6361" t="str">
            <v>73500-31015-00</v>
          </cell>
          <cell r="F6361">
            <v>0</v>
          </cell>
        </row>
        <row r="6362">
          <cell r="A6362" t="str">
            <v>73500-31016-00</v>
          </cell>
          <cell r="F6362">
            <v>0</v>
          </cell>
        </row>
        <row r="6363">
          <cell r="A6363" t="str">
            <v>73500-31017-00</v>
          </cell>
          <cell r="F6363">
            <v>0</v>
          </cell>
        </row>
        <row r="6364">
          <cell r="A6364" t="str">
            <v>73500-31018-00</v>
          </cell>
          <cell r="F6364">
            <v>0</v>
          </cell>
        </row>
        <row r="6365">
          <cell r="A6365" t="str">
            <v>73500-31019-00</v>
          </cell>
          <cell r="F6365">
            <v>0</v>
          </cell>
        </row>
        <row r="6366">
          <cell r="A6366" t="str">
            <v>73500-31020-00</v>
          </cell>
          <cell r="F6366">
            <v>0</v>
          </cell>
        </row>
        <row r="6367">
          <cell r="A6367" t="str">
            <v>73500-31021-00</v>
          </cell>
          <cell r="F6367">
            <v>0</v>
          </cell>
        </row>
        <row r="6368">
          <cell r="A6368" t="str">
            <v>73500-31022-00</v>
          </cell>
          <cell r="F6368">
            <v>0</v>
          </cell>
        </row>
        <row r="6369">
          <cell r="A6369" t="str">
            <v>73500-31023-00</v>
          </cell>
          <cell r="F6369">
            <v>0</v>
          </cell>
        </row>
        <row r="6370">
          <cell r="A6370" t="str">
            <v>73500-31024-00</v>
          </cell>
          <cell r="F6370">
            <v>0</v>
          </cell>
        </row>
        <row r="6371">
          <cell r="A6371" t="str">
            <v>73500-31025-00</v>
          </cell>
          <cell r="F6371">
            <v>0</v>
          </cell>
        </row>
        <row r="6372">
          <cell r="A6372" t="str">
            <v>73500-31026-00</v>
          </cell>
          <cell r="F6372">
            <v>0</v>
          </cell>
        </row>
        <row r="6373">
          <cell r="A6373" t="str">
            <v>73500-31027-00</v>
          </cell>
          <cell r="F6373">
            <v>0</v>
          </cell>
        </row>
        <row r="6374">
          <cell r="A6374" t="str">
            <v>73500-31028-00</v>
          </cell>
          <cell r="F6374">
            <v>0</v>
          </cell>
        </row>
        <row r="6375">
          <cell r="A6375" t="str">
            <v>73500-31029-00</v>
          </cell>
          <cell r="F6375">
            <v>0</v>
          </cell>
        </row>
        <row r="6376">
          <cell r="A6376" t="str">
            <v>73500-31030-00</v>
          </cell>
          <cell r="F6376">
            <v>0</v>
          </cell>
        </row>
        <row r="6377">
          <cell r="A6377" t="str">
            <v>73500-31031-00</v>
          </cell>
          <cell r="F6377">
            <v>0</v>
          </cell>
        </row>
        <row r="6378">
          <cell r="A6378" t="str">
            <v>73500-31032-00</v>
          </cell>
          <cell r="F6378">
            <v>0</v>
          </cell>
        </row>
        <row r="6379">
          <cell r="A6379" t="str">
            <v>73500-31033-00</v>
          </cell>
          <cell r="F6379">
            <v>0</v>
          </cell>
        </row>
        <row r="6380">
          <cell r="A6380" t="str">
            <v>73500-31034-00</v>
          </cell>
          <cell r="F6380">
            <v>0</v>
          </cell>
        </row>
        <row r="6381">
          <cell r="A6381" t="str">
            <v>73500-31035-00</v>
          </cell>
          <cell r="F6381">
            <v>0</v>
          </cell>
        </row>
        <row r="6382">
          <cell r="A6382" t="str">
            <v>73500-31036-00</v>
          </cell>
          <cell r="F6382">
            <v>0</v>
          </cell>
        </row>
        <row r="6383">
          <cell r="A6383" t="str">
            <v>73500-31037-00</v>
          </cell>
          <cell r="F6383">
            <v>0</v>
          </cell>
        </row>
        <row r="6384">
          <cell r="A6384" t="str">
            <v>73500-31038-00</v>
          </cell>
          <cell r="F6384">
            <v>0</v>
          </cell>
        </row>
        <row r="6385">
          <cell r="A6385" t="str">
            <v>73500-31039-00</v>
          </cell>
          <cell r="F6385">
            <v>0</v>
          </cell>
        </row>
        <row r="6386">
          <cell r="A6386" t="str">
            <v>73500-31040-00</v>
          </cell>
          <cell r="F6386">
            <v>0</v>
          </cell>
        </row>
        <row r="6387">
          <cell r="A6387" t="str">
            <v>73500-31041-00</v>
          </cell>
          <cell r="F6387">
            <v>-21014.560000000001</v>
          </cell>
        </row>
        <row r="6388">
          <cell r="A6388" t="str">
            <v>73500-31042-00</v>
          </cell>
          <cell r="F6388">
            <v>0</v>
          </cell>
        </row>
        <row r="6389">
          <cell r="A6389" t="str">
            <v>73500-31043-00</v>
          </cell>
          <cell r="F6389">
            <v>-5287.56</v>
          </cell>
        </row>
        <row r="6390">
          <cell r="A6390" t="str">
            <v>73500-31044-00</v>
          </cell>
          <cell r="F6390">
            <v>0</v>
          </cell>
        </row>
        <row r="6391">
          <cell r="A6391" t="str">
            <v>73500-31045-00</v>
          </cell>
          <cell r="F6391">
            <v>0</v>
          </cell>
        </row>
        <row r="6392">
          <cell r="A6392" t="str">
            <v>73500-31046-00</v>
          </cell>
          <cell r="F6392">
            <v>0</v>
          </cell>
        </row>
        <row r="6393">
          <cell r="A6393" t="str">
            <v>73500-31047-00</v>
          </cell>
          <cell r="F6393">
            <v>0</v>
          </cell>
        </row>
        <row r="6394">
          <cell r="A6394" t="str">
            <v>73500-31048-00</v>
          </cell>
          <cell r="F6394">
            <v>0</v>
          </cell>
        </row>
        <row r="6395">
          <cell r="A6395" t="str">
            <v>73500-31049-00</v>
          </cell>
          <cell r="F6395">
            <v>0</v>
          </cell>
        </row>
        <row r="6396">
          <cell r="A6396" t="str">
            <v>73500-31050-00</v>
          </cell>
          <cell r="F6396">
            <v>0</v>
          </cell>
        </row>
        <row r="6397">
          <cell r="A6397" t="str">
            <v>73500-31051-00</v>
          </cell>
          <cell r="F6397">
            <v>0</v>
          </cell>
        </row>
        <row r="6398">
          <cell r="A6398" t="str">
            <v>73500-31053-00</v>
          </cell>
          <cell r="F6398">
            <v>0</v>
          </cell>
        </row>
        <row r="6399">
          <cell r="A6399" t="str">
            <v>73500-31054-00</v>
          </cell>
          <cell r="F6399">
            <v>0</v>
          </cell>
        </row>
        <row r="6400">
          <cell r="A6400" t="str">
            <v>73500-31055-00</v>
          </cell>
          <cell r="F6400">
            <v>0</v>
          </cell>
        </row>
        <row r="6401">
          <cell r="A6401" t="str">
            <v>73500-31056-00</v>
          </cell>
          <cell r="F6401">
            <v>0</v>
          </cell>
        </row>
        <row r="6402">
          <cell r="A6402" t="str">
            <v>73500-31057-00</v>
          </cell>
          <cell r="F6402">
            <v>0</v>
          </cell>
        </row>
        <row r="6403">
          <cell r="A6403" t="str">
            <v>73500-31058-00</v>
          </cell>
          <cell r="F6403">
            <v>0</v>
          </cell>
        </row>
        <row r="6404">
          <cell r="A6404" t="str">
            <v>73500-31059-00</v>
          </cell>
          <cell r="F6404">
            <v>0</v>
          </cell>
        </row>
        <row r="6405">
          <cell r="A6405" t="str">
            <v>73500-31060-00</v>
          </cell>
          <cell r="F6405">
            <v>0</v>
          </cell>
        </row>
        <row r="6406">
          <cell r="A6406" t="str">
            <v>73500-31061-00</v>
          </cell>
          <cell r="F6406">
            <v>0</v>
          </cell>
        </row>
        <row r="6407">
          <cell r="A6407" t="str">
            <v>73500-31062-00</v>
          </cell>
          <cell r="F6407">
            <v>0</v>
          </cell>
        </row>
        <row r="6408">
          <cell r="A6408" t="str">
            <v>73500-31063-00</v>
          </cell>
          <cell r="F6408">
            <v>0</v>
          </cell>
        </row>
        <row r="6409">
          <cell r="A6409" t="str">
            <v>73500-31064-00</v>
          </cell>
          <cell r="F6409">
            <v>0</v>
          </cell>
        </row>
        <row r="6410">
          <cell r="A6410" t="str">
            <v>73500-31065-00</v>
          </cell>
          <cell r="F6410">
            <v>0</v>
          </cell>
        </row>
        <row r="6411">
          <cell r="A6411" t="str">
            <v>73500-31066-00</v>
          </cell>
          <cell r="F6411">
            <v>0</v>
          </cell>
        </row>
        <row r="6412">
          <cell r="A6412" t="str">
            <v>73500-31067-00</v>
          </cell>
          <cell r="F6412">
            <v>0</v>
          </cell>
        </row>
        <row r="6413">
          <cell r="A6413" t="str">
            <v>73500-31068-00</v>
          </cell>
          <cell r="F6413">
            <v>0</v>
          </cell>
        </row>
        <row r="6414">
          <cell r="A6414" t="str">
            <v>73500-31069-00</v>
          </cell>
          <cell r="F6414">
            <v>0</v>
          </cell>
        </row>
        <row r="6415">
          <cell r="A6415" t="str">
            <v>73500-31070-00</v>
          </cell>
          <cell r="F6415">
            <v>0</v>
          </cell>
        </row>
        <row r="6416">
          <cell r="A6416" t="str">
            <v>73500-31071-00</v>
          </cell>
          <cell r="F6416">
            <v>0</v>
          </cell>
        </row>
        <row r="6417">
          <cell r="A6417" t="str">
            <v>73500-31072-00</v>
          </cell>
          <cell r="F6417">
            <v>0</v>
          </cell>
        </row>
        <row r="6418">
          <cell r="A6418" t="str">
            <v>73500-31073-00</v>
          </cell>
          <cell r="F6418">
            <v>0</v>
          </cell>
        </row>
        <row r="6419">
          <cell r="A6419" t="str">
            <v>73500-31074-00</v>
          </cell>
          <cell r="F6419">
            <v>0</v>
          </cell>
        </row>
        <row r="6420">
          <cell r="A6420" t="str">
            <v>73500-31075-00</v>
          </cell>
          <cell r="F6420">
            <v>0</v>
          </cell>
        </row>
        <row r="6421">
          <cell r="A6421" t="str">
            <v>73500-31076-00</v>
          </cell>
          <cell r="F6421">
            <v>0</v>
          </cell>
        </row>
        <row r="6422">
          <cell r="A6422" t="str">
            <v>73500-31077-00</v>
          </cell>
          <cell r="F6422">
            <v>0</v>
          </cell>
        </row>
        <row r="6423">
          <cell r="A6423" t="str">
            <v>73500-31078-00</v>
          </cell>
          <cell r="F6423">
            <v>0</v>
          </cell>
        </row>
        <row r="6424">
          <cell r="A6424" t="str">
            <v>73500-41001-00</v>
          </cell>
          <cell r="F6424">
            <v>0</v>
          </cell>
        </row>
        <row r="6425">
          <cell r="A6425" t="str">
            <v>73500-41002-00</v>
          </cell>
          <cell r="F6425">
            <v>0</v>
          </cell>
        </row>
        <row r="6426">
          <cell r="A6426" t="str">
            <v>73500-41003-00</v>
          </cell>
          <cell r="F6426">
            <v>0</v>
          </cell>
        </row>
        <row r="6427">
          <cell r="A6427" t="str">
            <v>73500-41004-00</v>
          </cell>
          <cell r="F6427">
            <v>0</v>
          </cell>
        </row>
        <row r="6428">
          <cell r="A6428" t="str">
            <v>73500-41005-00</v>
          </cell>
          <cell r="F6428">
            <v>0</v>
          </cell>
        </row>
        <row r="6429">
          <cell r="A6429" t="str">
            <v>73500-41009-00</v>
          </cell>
          <cell r="F6429">
            <v>0</v>
          </cell>
        </row>
        <row r="6430">
          <cell r="A6430" t="str">
            <v>73500-41029-00</v>
          </cell>
          <cell r="F6430">
            <v>0</v>
          </cell>
        </row>
        <row r="6431">
          <cell r="A6431" t="str">
            <v>73500-41030-00</v>
          </cell>
          <cell r="F6431">
            <v>0</v>
          </cell>
        </row>
        <row r="6432">
          <cell r="A6432" t="str">
            <v>73500-41031-00</v>
          </cell>
          <cell r="F6432">
            <v>0</v>
          </cell>
        </row>
        <row r="6433">
          <cell r="A6433" t="str">
            <v>73500-41032-00</v>
          </cell>
          <cell r="F6433">
            <v>0</v>
          </cell>
        </row>
        <row r="6434">
          <cell r="A6434" t="str">
            <v>73500-41041-00</v>
          </cell>
          <cell r="F6434">
            <v>0</v>
          </cell>
        </row>
        <row r="6435">
          <cell r="A6435" t="str">
            <v>73500-41049-00</v>
          </cell>
          <cell r="F6435">
            <v>0</v>
          </cell>
        </row>
        <row r="6436">
          <cell r="A6436" t="str">
            <v>73500-41052-00</v>
          </cell>
          <cell r="F6436">
            <v>0</v>
          </cell>
        </row>
        <row r="6437">
          <cell r="A6437" t="str">
            <v>73500-43001-00</v>
          </cell>
          <cell r="F6437">
            <v>-51889.4</v>
          </cell>
        </row>
        <row r="6438">
          <cell r="A6438" t="str">
            <v>73500-43002-00</v>
          </cell>
          <cell r="F6438">
            <v>0</v>
          </cell>
        </row>
        <row r="6439">
          <cell r="A6439" t="str">
            <v>73500-43003-00</v>
          </cell>
          <cell r="F6439">
            <v>0</v>
          </cell>
        </row>
        <row r="6440">
          <cell r="A6440" t="str">
            <v>73500-43005-00</v>
          </cell>
          <cell r="F6440">
            <v>0</v>
          </cell>
        </row>
        <row r="6441">
          <cell r="A6441" t="str">
            <v>73500-43009-00</v>
          </cell>
          <cell r="F6441">
            <v>-5000</v>
          </cell>
        </row>
        <row r="6442">
          <cell r="A6442" t="str">
            <v>73500-43029-00</v>
          </cell>
          <cell r="F6442">
            <v>0</v>
          </cell>
        </row>
        <row r="6443">
          <cell r="A6443" t="str">
            <v>73500-43030-00</v>
          </cell>
          <cell r="F6443">
            <v>0</v>
          </cell>
        </row>
        <row r="6444">
          <cell r="A6444" t="str">
            <v>73500-43031-00</v>
          </cell>
          <cell r="F6444">
            <v>0</v>
          </cell>
        </row>
        <row r="6445">
          <cell r="A6445" t="str">
            <v>73500-43032-00</v>
          </cell>
          <cell r="F6445">
            <v>0</v>
          </cell>
        </row>
        <row r="6446">
          <cell r="A6446" t="str">
            <v>73500-43041-00</v>
          </cell>
          <cell r="F6446">
            <v>0</v>
          </cell>
        </row>
        <row r="6447">
          <cell r="A6447" t="str">
            <v>73500-43052-00</v>
          </cell>
          <cell r="F6447">
            <v>0</v>
          </cell>
        </row>
        <row r="6448">
          <cell r="A6448" t="str">
            <v>73500-45001-00</v>
          </cell>
          <cell r="F6448">
            <v>0</v>
          </cell>
        </row>
        <row r="6449">
          <cell r="A6449" t="str">
            <v>73500-45002-00</v>
          </cell>
          <cell r="F6449">
            <v>0</v>
          </cell>
        </row>
        <row r="6450">
          <cell r="A6450" t="str">
            <v>73500-45003-00</v>
          </cell>
          <cell r="F6450">
            <v>0</v>
          </cell>
        </row>
        <row r="6451">
          <cell r="A6451" t="str">
            <v>73500-45005-00</v>
          </cell>
          <cell r="F6451">
            <v>0</v>
          </cell>
        </row>
        <row r="6452">
          <cell r="A6452" t="str">
            <v>73500-45009-00</v>
          </cell>
          <cell r="F6452">
            <v>0</v>
          </cell>
        </row>
        <row r="6453">
          <cell r="A6453" t="str">
            <v>73500-45029-00</v>
          </cell>
          <cell r="F6453">
            <v>0</v>
          </cell>
        </row>
        <row r="6454">
          <cell r="A6454" t="str">
            <v>73500-45030-00</v>
          </cell>
          <cell r="F6454">
            <v>0</v>
          </cell>
        </row>
        <row r="6455">
          <cell r="A6455" t="str">
            <v>73500-45031-00</v>
          </cell>
          <cell r="F6455">
            <v>0</v>
          </cell>
        </row>
        <row r="6456">
          <cell r="A6456" t="str">
            <v>73500-45032-00</v>
          </cell>
          <cell r="F6456">
            <v>0</v>
          </cell>
        </row>
        <row r="6457">
          <cell r="A6457" t="str">
            <v>73500-45052-00</v>
          </cell>
          <cell r="F6457">
            <v>0</v>
          </cell>
        </row>
        <row r="6458">
          <cell r="A6458" t="str">
            <v>73500-51001-00</v>
          </cell>
          <cell r="F6458">
            <v>0</v>
          </cell>
        </row>
        <row r="6459">
          <cell r="A6459" t="str">
            <v>73500-51005-00</v>
          </cell>
          <cell r="F6459">
            <v>0</v>
          </cell>
        </row>
        <row r="6460">
          <cell r="A6460" t="str">
            <v>73500-53001-00</v>
          </cell>
          <cell r="F6460">
            <v>0</v>
          </cell>
        </row>
        <row r="6461">
          <cell r="A6461" t="str">
            <v>73500-61030-00</v>
          </cell>
          <cell r="F6461">
            <v>0</v>
          </cell>
        </row>
        <row r="6462">
          <cell r="A6462" t="str">
            <v>73500-61031-00</v>
          </cell>
          <cell r="F6462">
            <v>0</v>
          </cell>
        </row>
        <row r="6463">
          <cell r="A6463" t="str">
            <v>73500-62030-00</v>
          </cell>
          <cell r="F6463">
            <v>0</v>
          </cell>
        </row>
        <row r="6464">
          <cell r="A6464" t="str">
            <v>73500-62032-00</v>
          </cell>
          <cell r="F6464">
            <v>0</v>
          </cell>
        </row>
        <row r="6465">
          <cell r="A6465" t="str">
            <v>73500-63030-00</v>
          </cell>
          <cell r="F6465">
            <v>0</v>
          </cell>
        </row>
        <row r="6466">
          <cell r="A6466" t="str">
            <v>73500-63032-00</v>
          </cell>
          <cell r="F6466">
            <v>0</v>
          </cell>
        </row>
        <row r="6467">
          <cell r="A6467" t="str">
            <v>73500-64032-00</v>
          </cell>
          <cell r="F6467">
            <v>0</v>
          </cell>
        </row>
        <row r="6468">
          <cell r="A6468" t="str">
            <v>73500-81001-00</v>
          </cell>
          <cell r="F6468">
            <v>100</v>
          </cell>
        </row>
        <row r="6469">
          <cell r="A6469" t="str">
            <v>73500-81005-00</v>
          </cell>
          <cell r="F6469">
            <v>0</v>
          </cell>
        </row>
        <row r="6470">
          <cell r="A6470" t="str">
            <v>73500-83001-00</v>
          </cell>
          <cell r="F6470">
            <v>918692.08</v>
          </cell>
        </row>
        <row r="6471">
          <cell r="A6471" t="str">
            <v>73500-84001-00</v>
          </cell>
          <cell r="F6471">
            <v>0</v>
          </cell>
        </row>
        <row r="6472">
          <cell r="A6472" t="str">
            <v>73500-85001-00</v>
          </cell>
          <cell r="F6472">
            <v>0</v>
          </cell>
        </row>
        <row r="6473">
          <cell r="A6473" t="str">
            <v>73500-89001-00</v>
          </cell>
          <cell r="F6473">
            <v>0</v>
          </cell>
        </row>
        <row r="6474">
          <cell r="A6474" t="str">
            <v>74000-00000-00</v>
          </cell>
          <cell r="F6474">
            <v>0</v>
          </cell>
        </row>
        <row r="6475">
          <cell r="A6475" t="str">
            <v>74000-11001-00</v>
          </cell>
          <cell r="F6475">
            <v>3084397.41</v>
          </cell>
        </row>
        <row r="6476">
          <cell r="A6476" t="str">
            <v>74000-11005-00</v>
          </cell>
          <cell r="F6476">
            <v>0</v>
          </cell>
        </row>
        <row r="6477">
          <cell r="A6477" t="str">
            <v>74000-13006-00</v>
          </cell>
          <cell r="F6477">
            <v>0</v>
          </cell>
        </row>
        <row r="6478">
          <cell r="A6478" t="str">
            <v>74000-13007-00</v>
          </cell>
          <cell r="F6478">
            <v>0</v>
          </cell>
        </row>
        <row r="6479">
          <cell r="A6479" t="str">
            <v>74000-13008-00</v>
          </cell>
          <cell r="F6479">
            <v>0</v>
          </cell>
        </row>
        <row r="6480">
          <cell r="A6480" t="str">
            <v>74000-14001-00</v>
          </cell>
          <cell r="F6480">
            <v>75229.19</v>
          </cell>
        </row>
        <row r="6481">
          <cell r="A6481" t="str">
            <v>74000-14049-00</v>
          </cell>
          <cell r="F6481">
            <v>0</v>
          </cell>
        </row>
        <row r="6482">
          <cell r="A6482" t="str">
            <v>74000-15001-00</v>
          </cell>
          <cell r="F6482">
            <v>451375.25</v>
          </cell>
        </row>
        <row r="6483">
          <cell r="A6483" t="str">
            <v>74000-15005-00</v>
          </cell>
          <cell r="F6483">
            <v>0</v>
          </cell>
        </row>
        <row r="6484">
          <cell r="A6484" t="str">
            <v>74000-31000-00</v>
          </cell>
          <cell r="F6484">
            <v>0</v>
          </cell>
        </row>
        <row r="6485">
          <cell r="A6485" t="str">
            <v>74000-31001-00</v>
          </cell>
          <cell r="F6485">
            <v>319724.12</v>
          </cell>
        </row>
        <row r="6486">
          <cell r="A6486" t="str">
            <v>74000-41001-00</v>
          </cell>
          <cell r="F6486">
            <v>319724.12</v>
          </cell>
        </row>
        <row r="6487">
          <cell r="A6487" t="str">
            <v>74000-41002-00</v>
          </cell>
          <cell r="F6487">
            <v>206880.33</v>
          </cell>
        </row>
        <row r="6488">
          <cell r="A6488" t="str">
            <v>74000-41003-00</v>
          </cell>
          <cell r="F6488">
            <v>206880.33</v>
          </cell>
        </row>
        <row r="6489">
          <cell r="A6489" t="str">
            <v>74000-41004-00</v>
          </cell>
          <cell r="F6489">
            <v>150458.42000000001</v>
          </cell>
        </row>
        <row r="6490">
          <cell r="A6490" t="str">
            <v>74000-41005-00</v>
          </cell>
          <cell r="F6490">
            <v>150458.42000000001</v>
          </cell>
        </row>
        <row r="6491">
          <cell r="A6491" t="str">
            <v>74000-41009-00</v>
          </cell>
          <cell r="F6491">
            <v>150458.42000000001</v>
          </cell>
        </row>
        <row r="6492">
          <cell r="A6492" t="str">
            <v>74000-41029-00</v>
          </cell>
          <cell r="F6492">
            <v>0</v>
          </cell>
        </row>
        <row r="6493">
          <cell r="A6493" t="str">
            <v>74000-41030-00</v>
          </cell>
          <cell r="F6493">
            <v>0</v>
          </cell>
        </row>
        <row r="6494">
          <cell r="A6494" t="str">
            <v>74000-41031-00</v>
          </cell>
          <cell r="F6494">
            <v>0</v>
          </cell>
        </row>
        <row r="6495">
          <cell r="A6495" t="str">
            <v>74000-41032-00</v>
          </cell>
          <cell r="F6495">
            <v>0</v>
          </cell>
        </row>
        <row r="6496">
          <cell r="A6496" t="str">
            <v>74000-41041-00</v>
          </cell>
          <cell r="F6496">
            <v>0</v>
          </cell>
        </row>
        <row r="6497">
          <cell r="A6497" t="str">
            <v>74000-41049-00</v>
          </cell>
          <cell r="F6497">
            <v>0</v>
          </cell>
        </row>
        <row r="6498">
          <cell r="A6498" t="str">
            <v>74000-41052-00</v>
          </cell>
          <cell r="F6498">
            <v>0</v>
          </cell>
        </row>
        <row r="6499">
          <cell r="A6499" t="str">
            <v>74000-43001-00</v>
          </cell>
          <cell r="F6499">
            <v>319724.12</v>
          </cell>
        </row>
        <row r="6500">
          <cell r="A6500" t="str">
            <v>74000-43002-00</v>
          </cell>
          <cell r="F6500">
            <v>112843.81</v>
          </cell>
        </row>
        <row r="6501">
          <cell r="A6501" t="str">
            <v>74000-43003-00</v>
          </cell>
          <cell r="F6501">
            <v>112843.81</v>
          </cell>
        </row>
        <row r="6502">
          <cell r="A6502" t="str">
            <v>74000-43005-00</v>
          </cell>
          <cell r="F6502">
            <v>150458.42000000001</v>
          </cell>
        </row>
        <row r="6503">
          <cell r="A6503" t="str">
            <v>74000-43009-00</v>
          </cell>
          <cell r="F6503">
            <v>112843.81</v>
          </cell>
        </row>
        <row r="6504">
          <cell r="A6504" t="str">
            <v>74000-43029-00</v>
          </cell>
          <cell r="F6504">
            <v>112843.81</v>
          </cell>
        </row>
        <row r="6505">
          <cell r="A6505" t="str">
            <v>74000-43030-00</v>
          </cell>
          <cell r="F6505">
            <v>0</v>
          </cell>
        </row>
        <row r="6506">
          <cell r="A6506" t="str">
            <v>74000-43031-00</v>
          </cell>
          <cell r="F6506">
            <v>0</v>
          </cell>
        </row>
        <row r="6507">
          <cell r="A6507" t="str">
            <v>74000-43032-00</v>
          </cell>
          <cell r="F6507">
            <v>0</v>
          </cell>
        </row>
        <row r="6508">
          <cell r="A6508" t="str">
            <v>74000-43041-00</v>
          </cell>
          <cell r="F6508">
            <v>75229.19</v>
          </cell>
        </row>
        <row r="6509">
          <cell r="A6509" t="str">
            <v>74000-43052-00</v>
          </cell>
          <cell r="F6509">
            <v>0</v>
          </cell>
        </row>
        <row r="6510">
          <cell r="A6510" t="str">
            <v>74000-45001-00</v>
          </cell>
          <cell r="F6510">
            <v>319724.12</v>
          </cell>
        </row>
        <row r="6511">
          <cell r="A6511" t="str">
            <v>74000-45002-00</v>
          </cell>
          <cell r="F6511">
            <v>225687.61</v>
          </cell>
        </row>
        <row r="6512">
          <cell r="A6512" t="str">
            <v>74000-45003-00</v>
          </cell>
          <cell r="F6512">
            <v>0</v>
          </cell>
        </row>
        <row r="6513">
          <cell r="A6513" t="str">
            <v>74000-45005-00</v>
          </cell>
          <cell r="F6513">
            <v>112843.81</v>
          </cell>
        </row>
        <row r="6514">
          <cell r="A6514" t="str">
            <v>74000-45009-00</v>
          </cell>
          <cell r="F6514">
            <v>0</v>
          </cell>
        </row>
        <row r="6515">
          <cell r="A6515" t="str">
            <v>74000-45029-00</v>
          </cell>
          <cell r="F6515">
            <v>150458.42000000001</v>
          </cell>
        </row>
        <row r="6516">
          <cell r="A6516" t="str">
            <v>74000-45030-00</v>
          </cell>
          <cell r="F6516">
            <v>0</v>
          </cell>
        </row>
        <row r="6517">
          <cell r="A6517" t="str">
            <v>74000-45031-00</v>
          </cell>
          <cell r="F6517">
            <v>0</v>
          </cell>
        </row>
        <row r="6518">
          <cell r="A6518" t="str">
            <v>74000-45032-00</v>
          </cell>
          <cell r="F6518">
            <v>0</v>
          </cell>
        </row>
        <row r="6519">
          <cell r="A6519" t="str">
            <v>74000-45052-00</v>
          </cell>
          <cell r="F6519">
            <v>0</v>
          </cell>
        </row>
        <row r="6520">
          <cell r="A6520" t="str">
            <v>74000-51001-00</v>
          </cell>
          <cell r="F6520">
            <v>601833.62</v>
          </cell>
        </row>
        <row r="6521">
          <cell r="A6521" t="str">
            <v>74000-51005-00</v>
          </cell>
          <cell r="F6521">
            <v>0</v>
          </cell>
        </row>
        <row r="6522">
          <cell r="A6522" t="str">
            <v>74000-53001-00</v>
          </cell>
          <cell r="F6522">
            <v>0</v>
          </cell>
        </row>
        <row r="6523">
          <cell r="A6523" t="str">
            <v>74000-61030-00</v>
          </cell>
          <cell r="F6523">
            <v>0</v>
          </cell>
        </row>
        <row r="6524">
          <cell r="A6524" t="str">
            <v>74000-61031-00</v>
          </cell>
          <cell r="F6524">
            <v>0</v>
          </cell>
        </row>
        <row r="6525">
          <cell r="A6525" t="str">
            <v>74000-62030-00</v>
          </cell>
          <cell r="F6525">
            <v>0</v>
          </cell>
        </row>
        <row r="6526">
          <cell r="A6526" t="str">
            <v>74000-62032-00</v>
          </cell>
          <cell r="F6526">
            <v>0</v>
          </cell>
        </row>
        <row r="6527">
          <cell r="A6527" t="str">
            <v>74000-63030-00</v>
          </cell>
          <cell r="F6527">
            <v>0</v>
          </cell>
        </row>
        <row r="6528">
          <cell r="A6528" t="str">
            <v>74000-63032-00</v>
          </cell>
          <cell r="F6528">
            <v>0</v>
          </cell>
        </row>
        <row r="6529">
          <cell r="A6529" t="str">
            <v>74000-64032-00</v>
          </cell>
          <cell r="F6529">
            <v>0</v>
          </cell>
        </row>
        <row r="6530">
          <cell r="A6530" t="str">
            <v>74000-81001-00</v>
          </cell>
          <cell r="F6530">
            <v>-2141957.1200000001</v>
          </cell>
        </row>
        <row r="6531">
          <cell r="A6531" t="str">
            <v>74000-81005-00</v>
          </cell>
          <cell r="F6531">
            <v>0</v>
          </cell>
        </row>
        <row r="6532">
          <cell r="A6532" t="str">
            <v>74000-83001-00</v>
          </cell>
          <cell r="F6532">
            <v>-4133558.01</v>
          </cell>
        </row>
        <row r="6533">
          <cell r="A6533" t="str">
            <v>74000-84001-00</v>
          </cell>
          <cell r="F6533">
            <v>-493510.71</v>
          </cell>
        </row>
        <row r="6534">
          <cell r="A6534" t="str">
            <v>74000-85001-00</v>
          </cell>
          <cell r="F6534">
            <v>-753894.72</v>
          </cell>
        </row>
        <row r="6535">
          <cell r="A6535" t="str">
            <v>74000-89001-00</v>
          </cell>
          <cell r="F6535">
            <v>0</v>
          </cell>
        </row>
        <row r="6536">
          <cell r="F6536">
            <v>-343150.05</v>
          </cell>
        </row>
        <row r="6537">
          <cell r="A6537" t="str">
            <v>Non Financial</v>
          </cell>
        </row>
        <row r="6538">
          <cell r="A6538" t="str">
            <v>90110-00000-00</v>
          </cell>
          <cell r="F6538">
            <v>0</v>
          </cell>
        </row>
        <row r="6539">
          <cell r="A6539" t="str">
            <v>90110-11001-00</v>
          </cell>
          <cell r="F6539">
            <v>-131359956.70999999</v>
          </cell>
        </row>
        <row r="6540">
          <cell r="A6540" t="str">
            <v>90110-11005-00</v>
          </cell>
          <cell r="F6540">
            <v>0</v>
          </cell>
        </row>
        <row r="6541">
          <cell r="A6541" t="str">
            <v>90110-13006-00</v>
          </cell>
          <cell r="F6541">
            <v>0</v>
          </cell>
        </row>
        <row r="6542">
          <cell r="A6542" t="str">
            <v>90110-13007-00</v>
          </cell>
          <cell r="F6542">
            <v>0</v>
          </cell>
        </row>
        <row r="6543">
          <cell r="A6543" t="str">
            <v>90110-31010-00</v>
          </cell>
          <cell r="F6543">
            <v>-164715.99</v>
          </cell>
        </row>
        <row r="6544">
          <cell r="A6544" t="str">
            <v>90110-31011-00</v>
          </cell>
          <cell r="F6544">
            <v>-363614.2</v>
          </cell>
        </row>
        <row r="6545">
          <cell r="A6545" t="str">
            <v>90110-31012-00</v>
          </cell>
          <cell r="F6545">
            <v>-21078.95</v>
          </cell>
        </row>
        <row r="6546">
          <cell r="A6546" t="str">
            <v>90110-31013-00</v>
          </cell>
          <cell r="F6546">
            <v>-137385.94</v>
          </cell>
        </row>
        <row r="6547">
          <cell r="A6547" t="str">
            <v>90110-31014-00</v>
          </cell>
          <cell r="F6547">
            <v>0</v>
          </cell>
        </row>
        <row r="6548">
          <cell r="A6548" t="str">
            <v>90110-31015-00</v>
          </cell>
          <cell r="F6548">
            <v>0</v>
          </cell>
        </row>
        <row r="6549">
          <cell r="A6549" t="str">
            <v>90110-31016-00</v>
          </cell>
          <cell r="F6549">
            <v>0</v>
          </cell>
        </row>
        <row r="6550">
          <cell r="A6550" t="str">
            <v>90110-31017-00</v>
          </cell>
          <cell r="F6550">
            <v>-20379.84</v>
          </cell>
        </row>
        <row r="6551">
          <cell r="A6551" t="str">
            <v>90110-31018-00</v>
          </cell>
          <cell r="F6551">
            <v>-54122.02</v>
          </cell>
        </row>
        <row r="6552">
          <cell r="A6552" t="str">
            <v>90110-31019-00</v>
          </cell>
          <cell r="F6552">
            <v>-8121.7</v>
          </cell>
        </row>
        <row r="6553">
          <cell r="A6553" t="str">
            <v>90110-31020-00</v>
          </cell>
          <cell r="F6553">
            <v>0</v>
          </cell>
        </row>
        <row r="6554">
          <cell r="A6554" t="str">
            <v>90110-31021-00</v>
          </cell>
          <cell r="F6554">
            <v>-21710.45</v>
          </cell>
        </row>
        <row r="6555">
          <cell r="A6555" t="str">
            <v>90110-31022-00</v>
          </cell>
          <cell r="F6555">
            <v>-18260.09</v>
          </cell>
        </row>
        <row r="6556">
          <cell r="A6556" t="str">
            <v>90110-31023-00</v>
          </cell>
          <cell r="F6556">
            <v>-40117.449999999997</v>
          </cell>
        </row>
        <row r="6557">
          <cell r="A6557" t="str">
            <v>90110-31024-00</v>
          </cell>
          <cell r="F6557">
            <v>0</v>
          </cell>
        </row>
        <row r="6558">
          <cell r="A6558" t="str">
            <v>90110-31025-00</v>
          </cell>
          <cell r="F6558">
            <v>-25502.54</v>
          </cell>
        </row>
        <row r="6559">
          <cell r="A6559" t="str">
            <v>90110-31026-00</v>
          </cell>
          <cell r="F6559">
            <v>0</v>
          </cell>
        </row>
        <row r="6560">
          <cell r="A6560" t="str">
            <v>90110-31027-00</v>
          </cell>
          <cell r="F6560">
            <v>0</v>
          </cell>
        </row>
        <row r="6561">
          <cell r="A6561" t="str">
            <v>90110-31028-00</v>
          </cell>
          <cell r="F6561">
            <v>-211376.7</v>
          </cell>
        </row>
        <row r="6562">
          <cell r="A6562" t="str">
            <v>90110-31029-00</v>
          </cell>
          <cell r="F6562">
            <v>-87477.91</v>
          </cell>
        </row>
        <row r="6563">
          <cell r="A6563" t="str">
            <v>90110-31030-00</v>
          </cell>
          <cell r="F6563">
            <v>-96450.3</v>
          </cell>
        </row>
        <row r="6564">
          <cell r="A6564" t="str">
            <v>90110-31031-00</v>
          </cell>
          <cell r="F6564">
            <v>-49841.49</v>
          </cell>
        </row>
        <row r="6565">
          <cell r="A6565" t="str">
            <v>90110-31032-00</v>
          </cell>
          <cell r="F6565">
            <v>-84954.61</v>
          </cell>
        </row>
        <row r="6566">
          <cell r="A6566" t="str">
            <v>90110-31033-00</v>
          </cell>
          <cell r="F6566">
            <v>-192772.38</v>
          </cell>
        </row>
        <row r="6567">
          <cell r="A6567" t="str">
            <v>90110-31034-00</v>
          </cell>
          <cell r="F6567">
            <v>0</v>
          </cell>
        </row>
        <row r="6568">
          <cell r="A6568" t="str">
            <v>90110-31035-00</v>
          </cell>
          <cell r="F6568">
            <v>0</v>
          </cell>
        </row>
        <row r="6569">
          <cell r="A6569" t="str">
            <v>90110-31036-00</v>
          </cell>
          <cell r="F6569">
            <v>0</v>
          </cell>
        </row>
        <row r="6570">
          <cell r="A6570" t="str">
            <v>90110-31037-00</v>
          </cell>
          <cell r="F6570">
            <v>0</v>
          </cell>
        </row>
        <row r="6571">
          <cell r="A6571" t="str">
            <v>90110-31038-00</v>
          </cell>
          <cell r="F6571">
            <v>-69908.44</v>
          </cell>
        </row>
        <row r="6572">
          <cell r="A6572" t="str">
            <v>90110-31039-00</v>
          </cell>
          <cell r="F6572">
            <v>-19531.150000000001</v>
          </cell>
        </row>
        <row r="6573">
          <cell r="A6573" t="str">
            <v>90110-31040-00</v>
          </cell>
          <cell r="F6573">
            <v>-8087.41</v>
          </cell>
        </row>
        <row r="6574">
          <cell r="A6574" t="str">
            <v>90110-31041-00</v>
          </cell>
          <cell r="F6574">
            <v>-73801.600000000006</v>
          </cell>
        </row>
        <row r="6575">
          <cell r="A6575" t="str">
            <v>90110-31042-00</v>
          </cell>
          <cell r="F6575">
            <v>-22347.37</v>
          </cell>
        </row>
        <row r="6576">
          <cell r="A6576" t="str">
            <v>90110-31043-00</v>
          </cell>
          <cell r="F6576">
            <v>-252636.75</v>
          </cell>
        </row>
        <row r="6577">
          <cell r="A6577" t="str">
            <v>90110-31044-00</v>
          </cell>
          <cell r="F6577">
            <v>0</v>
          </cell>
        </row>
        <row r="6578">
          <cell r="A6578" t="str">
            <v>90110-31045-00</v>
          </cell>
          <cell r="F6578">
            <v>0</v>
          </cell>
        </row>
        <row r="6579">
          <cell r="A6579" t="str">
            <v>90110-31046-00</v>
          </cell>
          <cell r="F6579">
            <v>-133883.70000000001</v>
          </cell>
        </row>
        <row r="6580">
          <cell r="A6580" t="str">
            <v>90110-31047-00</v>
          </cell>
          <cell r="F6580">
            <v>0</v>
          </cell>
        </row>
        <row r="6581">
          <cell r="A6581" t="str">
            <v>90110-31048-00</v>
          </cell>
          <cell r="F6581">
            <v>-220320.81</v>
          </cell>
        </row>
        <row r="6582">
          <cell r="A6582" t="str">
            <v>90110-31049-00</v>
          </cell>
          <cell r="F6582">
            <v>0</v>
          </cell>
        </row>
        <row r="6583">
          <cell r="A6583" t="str">
            <v>90110-31050-00</v>
          </cell>
          <cell r="F6583">
            <v>0</v>
          </cell>
        </row>
        <row r="6584">
          <cell r="A6584" t="str">
            <v>90110-31051-00</v>
          </cell>
          <cell r="F6584">
            <v>-29297.31</v>
          </cell>
        </row>
        <row r="6585">
          <cell r="A6585" t="str">
            <v>90110-31053-00</v>
          </cell>
          <cell r="F6585">
            <v>-7026.32</v>
          </cell>
        </row>
        <row r="6586">
          <cell r="A6586" t="str">
            <v>90110-31054-00</v>
          </cell>
          <cell r="F6586">
            <v>-348972.26</v>
          </cell>
        </row>
        <row r="6587">
          <cell r="A6587" t="str">
            <v>90110-31055-00</v>
          </cell>
          <cell r="F6587">
            <v>-14636.24</v>
          </cell>
        </row>
        <row r="6588">
          <cell r="A6588" t="str">
            <v>90110-31056-00</v>
          </cell>
          <cell r="F6588">
            <v>0</v>
          </cell>
        </row>
        <row r="6589">
          <cell r="A6589" t="str">
            <v>90110-31057-00</v>
          </cell>
          <cell r="F6589">
            <v>-107757.67</v>
          </cell>
        </row>
        <row r="6590">
          <cell r="A6590" t="str">
            <v>90110-31058-00</v>
          </cell>
          <cell r="F6590">
            <v>-63.07</v>
          </cell>
        </row>
        <row r="6591">
          <cell r="A6591" t="str">
            <v>90110-31059-00</v>
          </cell>
          <cell r="F6591">
            <v>0</v>
          </cell>
        </row>
        <row r="6592">
          <cell r="A6592" t="str">
            <v>90110-31060-00</v>
          </cell>
          <cell r="F6592">
            <v>-18359.38</v>
          </cell>
        </row>
        <row r="6593">
          <cell r="A6593" t="str">
            <v>90110-31061-00</v>
          </cell>
          <cell r="F6593">
            <v>0</v>
          </cell>
        </row>
        <row r="6594">
          <cell r="A6594" t="str">
            <v>90110-31062-00</v>
          </cell>
          <cell r="F6594">
            <v>-119.96</v>
          </cell>
        </row>
        <row r="6595">
          <cell r="A6595" t="str">
            <v>90110-31063-00</v>
          </cell>
          <cell r="F6595">
            <v>-799.91</v>
          </cell>
        </row>
        <row r="6596">
          <cell r="A6596" t="str">
            <v>90110-31064-00</v>
          </cell>
          <cell r="F6596">
            <v>-1427.54</v>
          </cell>
        </row>
        <row r="6597">
          <cell r="A6597" t="str">
            <v>90110-31065-00</v>
          </cell>
          <cell r="F6597">
            <v>-229620.09</v>
          </cell>
        </row>
        <row r="6598">
          <cell r="A6598" t="str">
            <v>90110-31066-00</v>
          </cell>
          <cell r="F6598">
            <v>-29169.279999999999</v>
          </cell>
        </row>
        <row r="6599">
          <cell r="A6599" t="str">
            <v>90110-31067-00</v>
          </cell>
          <cell r="F6599">
            <v>-51769.53</v>
          </cell>
        </row>
        <row r="6600">
          <cell r="A6600" t="str">
            <v>90110-31068-00</v>
          </cell>
          <cell r="F6600">
            <v>-76366.929999999993</v>
          </cell>
        </row>
        <row r="6601">
          <cell r="A6601" t="str">
            <v>90110-31069-00</v>
          </cell>
          <cell r="F6601">
            <v>-151028.46</v>
          </cell>
        </row>
        <row r="6602">
          <cell r="A6602" t="str">
            <v>90110-31070-00</v>
          </cell>
          <cell r="F6602">
            <v>-143020.72</v>
          </cell>
        </row>
        <row r="6603">
          <cell r="A6603" t="str">
            <v>90110-31071-00</v>
          </cell>
          <cell r="F6603">
            <v>-4371.72</v>
          </cell>
        </row>
        <row r="6604">
          <cell r="A6604" t="str">
            <v>90110-31072-00</v>
          </cell>
          <cell r="F6604">
            <v>0</v>
          </cell>
        </row>
        <row r="6605">
          <cell r="A6605" t="str">
            <v>90110-31073-00</v>
          </cell>
          <cell r="F6605">
            <v>-20333.45</v>
          </cell>
        </row>
        <row r="6606">
          <cell r="A6606" t="str">
            <v>90110-31074-00</v>
          </cell>
          <cell r="F6606">
            <v>-21075.200000000001</v>
          </cell>
        </row>
        <row r="6607">
          <cell r="A6607" t="str">
            <v>90110-31075-00</v>
          </cell>
          <cell r="F6607">
            <v>0</v>
          </cell>
        </row>
        <row r="6608">
          <cell r="A6608" t="str">
            <v>90110-31076-00</v>
          </cell>
          <cell r="F6608">
            <v>-64.459999999999994</v>
          </cell>
        </row>
        <row r="6609">
          <cell r="A6609" t="str">
            <v>90110-31077-00</v>
          </cell>
          <cell r="F6609">
            <v>-63733.73</v>
          </cell>
        </row>
        <row r="6610">
          <cell r="A6610" t="str">
            <v>90110-31078-00</v>
          </cell>
          <cell r="F6610">
            <v>-429</v>
          </cell>
        </row>
        <row r="6611">
          <cell r="A6611" t="str">
            <v>90110-31900-00</v>
          </cell>
          <cell r="F6611">
            <v>-1413240.42</v>
          </cell>
        </row>
        <row r="6612">
          <cell r="A6612" t="str">
            <v>90110-31910-00</v>
          </cell>
          <cell r="F6612">
            <v>-439313.51</v>
          </cell>
        </row>
        <row r="6613">
          <cell r="A6613" t="str">
            <v>90110-43001-00</v>
          </cell>
          <cell r="F6613">
            <v>-454421.22</v>
          </cell>
        </row>
        <row r="6614">
          <cell r="A6614" t="str">
            <v>90110-43002-00</v>
          </cell>
          <cell r="F6614">
            <v>-45046.5</v>
          </cell>
        </row>
        <row r="6615">
          <cell r="A6615" t="str">
            <v>90110-43003-00</v>
          </cell>
          <cell r="F6615">
            <v>-186950.5</v>
          </cell>
        </row>
        <row r="6616">
          <cell r="A6616" t="str">
            <v>90110-43005-00</v>
          </cell>
          <cell r="F6616">
            <v>-349810</v>
          </cell>
        </row>
        <row r="6617">
          <cell r="A6617" t="str">
            <v>90110-43009-00</v>
          </cell>
          <cell r="F6617">
            <v>-194195.72</v>
          </cell>
        </row>
        <row r="6618">
          <cell r="A6618" t="str">
            <v>90110-43029-00</v>
          </cell>
          <cell r="F6618">
            <v>-28178.21</v>
          </cell>
        </row>
        <row r="6619">
          <cell r="A6619" t="str">
            <v>90110-43030-00</v>
          </cell>
          <cell r="F6619">
            <v>-282861.2</v>
          </cell>
        </row>
        <row r="6620">
          <cell r="A6620" t="str">
            <v>90110-43031-00</v>
          </cell>
          <cell r="F6620">
            <v>-103989.94</v>
          </cell>
        </row>
        <row r="6621">
          <cell r="A6621" t="str">
            <v>90110-43032-00</v>
          </cell>
          <cell r="F6621">
            <v>-176350.84</v>
          </cell>
        </row>
        <row r="6622">
          <cell r="A6622" t="str">
            <v>90110-43041-00</v>
          </cell>
          <cell r="F6622">
            <v>-172720</v>
          </cell>
        </row>
        <row r="6623">
          <cell r="A6623" t="str">
            <v>90110-43052-00</v>
          </cell>
          <cell r="F6623">
            <v>0</v>
          </cell>
        </row>
        <row r="6624">
          <cell r="A6624" t="str">
            <v>90110-45001-00</v>
          </cell>
          <cell r="F6624">
            <v>-5024</v>
          </cell>
        </row>
        <row r="6625">
          <cell r="A6625" t="str">
            <v>90110-45002-00</v>
          </cell>
          <cell r="F6625">
            <v>-19750.3</v>
          </cell>
        </row>
        <row r="6626">
          <cell r="A6626" t="str">
            <v>90110-45003-00</v>
          </cell>
          <cell r="F6626">
            <v>0</v>
          </cell>
        </row>
        <row r="6627">
          <cell r="A6627" t="str">
            <v>90110-45005-00</v>
          </cell>
          <cell r="F6627">
            <v>-18274</v>
          </cell>
        </row>
        <row r="6628">
          <cell r="A6628" t="str">
            <v>90110-45009-00</v>
          </cell>
          <cell r="F6628">
            <v>-235</v>
          </cell>
        </row>
        <row r="6629">
          <cell r="A6629" t="str">
            <v>90110-45029-00</v>
          </cell>
          <cell r="F6629">
            <v>-1696</v>
          </cell>
        </row>
        <row r="6630">
          <cell r="A6630" t="str">
            <v>90110-45030-00</v>
          </cell>
          <cell r="F6630">
            <v>-33577.4</v>
          </cell>
        </row>
        <row r="6631">
          <cell r="A6631" t="str">
            <v>90110-45031-00</v>
          </cell>
          <cell r="F6631">
            <v>-61</v>
          </cell>
        </row>
        <row r="6632">
          <cell r="A6632" t="str">
            <v>90110-45032-00</v>
          </cell>
          <cell r="F6632">
            <v>-90</v>
          </cell>
        </row>
        <row r="6633">
          <cell r="A6633" t="str">
            <v>90110-45052-00</v>
          </cell>
          <cell r="F6633">
            <v>0</v>
          </cell>
        </row>
        <row r="6634">
          <cell r="A6634" t="str">
            <v>90210-00000-00</v>
          </cell>
          <cell r="F6634">
            <v>0</v>
          </cell>
        </row>
        <row r="6635">
          <cell r="A6635" t="str">
            <v>90210-11001-00</v>
          </cell>
          <cell r="F6635">
            <v>-54299094.43</v>
          </cell>
        </row>
        <row r="6636">
          <cell r="A6636" t="str">
            <v>90210-11005-00</v>
          </cell>
          <cell r="F6636">
            <v>0</v>
          </cell>
        </row>
        <row r="6637">
          <cell r="A6637" t="str">
            <v>90210-13006-00</v>
          </cell>
          <cell r="F6637">
            <v>0</v>
          </cell>
        </row>
        <row r="6638">
          <cell r="A6638" t="str">
            <v>90210-13007-00</v>
          </cell>
          <cell r="F6638">
            <v>-2515676</v>
          </cell>
        </row>
        <row r="6639">
          <cell r="A6639" t="str">
            <v>90210-13008-00</v>
          </cell>
          <cell r="F6639">
            <v>0</v>
          </cell>
        </row>
        <row r="6640">
          <cell r="A6640" t="str">
            <v>90210-31010-00</v>
          </cell>
          <cell r="F6640">
            <v>-372063.47</v>
          </cell>
        </row>
        <row r="6641">
          <cell r="A6641" t="str">
            <v>90210-31011-00</v>
          </cell>
          <cell r="F6641">
            <v>-324899.84000000003</v>
          </cell>
        </row>
        <row r="6642">
          <cell r="A6642" t="str">
            <v>90210-31012-00</v>
          </cell>
          <cell r="F6642">
            <v>-55097.87</v>
          </cell>
        </row>
        <row r="6643">
          <cell r="A6643" t="str">
            <v>90210-31013-00</v>
          </cell>
          <cell r="F6643">
            <v>0</v>
          </cell>
        </row>
        <row r="6644">
          <cell r="A6644" t="str">
            <v>90210-31014-00</v>
          </cell>
          <cell r="F6644">
            <v>0</v>
          </cell>
        </row>
        <row r="6645">
          <cell r="A6645" t="str">
            <v>90210-31015-00</v>
          </cell>
          <cell r="F6645">
            <v>0</v>
          </cell>
        </row>
        <row r="6646">
          <cell r="A6646" t="str">
            <v>90210-31016-00</v>
          </cell>
          <cell r="F6646">
            <v>0</v>
          </cell>
        </row>
        <row r="6647">
          <cell r="A6647" t="str">
            <v>90210-31017-00</v>
          </cell>
          <cell r="F6647">
            <v>-44990.94</v>
          </cell>
        </row>
        <row r="6648">
          <cell r="A6648" t="str">
            <v>90210-31018-00</v>
          </cell>
          <cell r="F6648">
            <v>-329923.11</v>
          </cell>
        </row>
        <row r="6649">
          <cell r="A6649" t="str">
            <v>90210-31019-00</v>
          </cell>
          <cell r="F6649">
            <v>-33398.160000000003</v>
          </cell>
        </row>
        <row r="6650">
          <cell r="A6650" t="str">
            <v>90210-31020-00</v>
          </cell>
          <cell r="F6650">
            <v>0</v>
          </cell>
        </row>
        <row r="6651">
          <cell r="A6651" t="str">
            <v>90210-31021-00</v>
          </cell>
          <cell r="F6651">
            <v>-72771.22</v>
          </cell>
        </row>
        <row r="6652">
          <cell r="A6652" t="str">
            <v>90210-31022-00</v>
          </cell>
          <cell r="F6652">
            <v>-252628.31</v>
          </cell>
        </row>
        <row r="6653">
          <cell r="A6653" t="str">
            <v>90210-31023-00</v>
          </cell>
          <cell r="F6653">
            <v>-360645.79</v>
          </cell>
        </row>
        <row r="6654">
          <cell r="A6654" t="str">
            <v>90210-31024-00</v>
          </cell>
          <cell r="F6654">
            <v>0</v>
          </cell>
        </row>
        <row r="6655">
          <cell r="A6655" t="str">
            <v>90210-31025-00</v>
          </cell>
          <cell r="F6655">
            <v>-66839.3</v>
          </cell>
        </row>
        <row r="6656">
          <cell r="A6656" t="str">
            <v>90210-31026-00</v>
          </cell>
          <cell r="F6656">
            <v>0</v>
          </cell>
        </row>
        <row r="6657">
          <cell r="A6657" t="str">
            <v>90210-31027-00</v>
          </cell>
          <cell r="F6657">
            <v>0</v>
          </cell>
        </row>
        <row r="6658">
          <cell r="A6658" t="str">
            <v>90210-31028-00</v>
          </cell>
          <cell r="F6658">
            <v>-511493.9</v>
          </cell>
        </row>
        <row r="6659">
          <cell r="A6659" t="str">
            <v>90210-31029-00</v>
          </cell>
          <cell r="F6659">
            <v>-89286.81</v>
          </cell>
        </row>
        <row r="6660">
          <cell r="A6660" t="str">
            <v>90210-31030-00</v>
          </cell>
          <cell r="F6660">
            <v>-537064.47</v>
          </cell>
        </row>
        <row r="6661">
          <cell r="A6661" t="str">
            <v>90210-31031-00</v>
          </cell>
          <cell r="F6661">
            <v>-109043.34</v>
          </cell>
        </row>
        <row r="6662">
          <cell r="A6662" t="str">
            <v>90210-31032-00</v>
          </cell>
          <cell r="F6662">
            <v>-185541.82</v>
          </cell>
        </row>
        <row r="6663">
          <cell r="A6663" t="str">
            <v>90210-31033-00</v>
          </cell>
          <cell r="F6663">
            <v>-347410.05</v>
          </cell>
        </row>
        <row r="6664">
          <cell r="A6664" t="str">
            <v>90210-31034-00</v>
          </cell>
          <cell r="F6664">
            <v>0</v>
          </cell>
        </row>
        <row r="6665">
          <cell r="A6665" t="str">
            <v>90210-31035-00</v>
          </cell>
          <cell r="F6665">
            <v>0</v>
          </cell>
        </row>
        <row r="6666">
          <cell r="A6666" t="str">
            <v>90210-31036-00</v>
          </cell>
          <cell r="F6666">
            <v>0</v>
          </cell>
        </row>
        <row r="6667">
          <cell r="A6667" t="str">
            <v>90210-31037-00</v>
          </cell>
          <cell r="F6667">
            <v>0</v>
          </cell>
        </row>
        <row r="6668">
          <cell r="A6668" t="str">
            <v>90210-31038-00</v>
          </cell>
          <cell r="F6668">
            <v>-268410.88</v>
          </cell>
        </row>
        <row r="6669">
          <cell r="A6669" t="str">
            <v>90210-31039-00</v>
          </cell>
          <cell r="F6669">
            <v>-83250.84</v>
          </cell>
        </row>
        <row r="6670">
          <cell r="A6670" t="str">
            <v>90210-31040-00</v>
          </cell>
          <cell r="F6670">
            <v>-31279.06</v>
          </cell>
        </row>
        <row r="6671">
          <cell r="A6671" t="str">
            <v>90210-31041-00</v>
          </cell>
          <cell r="F6671">
            <v>-260523.56</v>
          </cell>
        </row>
        <row r="6672">
          <cell r="A6672" t="str">
            <v>90210-31042-00</v>
          </cell>
          <cell r="F6672">
            <v>-50375.22</v>
          </cell>
        </row>
        <row r="6673">
          <cell r="A6673" t="str">
            <v>90210-31043-00</v>
          </cell>
          <cell r="F6673">
            <v>-943807.88</v>
          </cell>
        </row>
        <row r="6674">
          <cell r="A6674" t="str">
            <v>90210-31044-00</v>
          </cell>
          <cell r="F6674">
            <v>0</v>
          </cell>
        </row>
        <row r="6675">
          <cell r="A6675" t="str">
            <v>90210-31045-00</v>
          </cell>
          <cell r="F6675">
            <v>0</v>
          </cell>
        </row>
        <row r="6676">
          <cell r="A6676" t="str">
            <v>90210-31046-00</v>
          </cell>
          <cell r="F6676">
            <v>-183746.46</v>
          </cell>
        </row>
        <row r="6677">
          <cell r="A6677" t="str">
            <v>90210-31047-00</v>
          </cell>
          <cell r="F6677">
            <v>0</v>
          </cell>
        </row>
        <row r="6678">
          <cell r="A6678" t="str">
            <v>90210-31048-00</v>
          </cell>
          <cell r="F6678">
            <v>-310491.08</v>
          </cell>
        </row>
        <row r="6679">
          <cell r="A6679" t="str">
            <v>90210-31049-00</v>
          </cell>
          <cell r="F6679">
            <v>0</v>
          </cell>
        </row>
        <row r="6680">
          <cell r="A6680" t="str">
            <v>90210-31050-00</v>
          </cell>
          <cell r="F6680">
            <v>0</v>
          </cell>
        </row>
        <row r="6681">
          <cell r="A6681" t="str">
            <v>90210-31051-00</v>
          </cell>
          <cell r="F6681">
            <v>-42651.41</v>
          </cell>
        </row>
        <row r="6682">
          <cell r="A6682" t="str">
            <v>90210-31053-00</v>
          </cell>
          <cell r="F6682">
            <v>-25233.9</v>
          </cell>
        </row>
        <row r="6683">
          <cell r="A6683" t="str">
            <v>90210-31054-00</v>
          </cell>
          <cell r="F6683">
            <v>-1123954.98</v>
          </cell>
        </row>
        <row r="6684">
          <cell r="A6684" t="str">
            <v>90210-31055-00</v>
          </cell>
          <cell r="F6684">
            <v>-54644.38</v>
          </cell>
        </row>
        <row r="6685">
          <cell r="A6685" t="str">
            <v>90210-31056-00</v>
          </cell>
          <cell r="F6685">
            <v>0</v>
          </cell>
        </row>
        <row r="6686">
          <cell r="A6686" t="str">
            <v>90210-31057-00</v>
          </cell>
          <cell r="F6686">
            <v>-88776.84</v>
          </cell>
        </row>
        <row r="6687">
          <cell r="A6687" t="str">
            <v>90210-31058-00</v>
          </cell>
          <cell r="F6687">
            <v>-89.33</v>
          </cell>
        </row>
        <row r="6688">
          <cell r="A6688" t="str">
            <v>90210-31059-00</v>
          </cell>
          <cell r="F6688">
            <v>0</v>
          </cell>
        </row>
        <row r="6689">
          <cell r="A6689" t="str">
            <v>90210-31060-00</v>
          </cell>
          <cell r="F6689">
            <v>-32187.37</v>
          </cell>
        </row>
        <row r="6690">
          <cell r="A6690" t="str">
            <v>90210-31061-00</v>
          </cell>
          <cell r="F6690">
            <v>0</v>
          </cell>
        </row>
        <row r="6691">
          <cell r="A6691" t="str">
            <v>90210-31062-00</v>
          </cell>
          <cell r="F6691">
            <v>-279.63</v>
          </cell>
        </row>
        <row r="6692">
          <cell r="A6692" t="str">
            <v>90210-31063-00</v>
          </cell>
          <cell r="F6692">
            <v>-331.32</v>
          </cell>
        </row>
        <row r="6693">
          <cell r="A6693" t="str">
            <v>90210-31064-00</v>
          </cell>
          <cell r="F6693">
            <v>-1148.42</v>
          </cell>
        </row>
        <row r="6694">
          <cell r="A6694" t="str">
            <v>90210-31065-00</v>
          </cell>
          <cell r="F6694">
            <v>-89207.79</v>
          </cell>
        </row>
        <row r="6695">
          <cell r="A6695" t="str">
            <v>90210-31066-00</v>
          </cell>
          <cell r="F6695">
            <v>-37460.44</v>
          </cell>
        </row>
        <row r="6696">
          <cell r="A6696" t="str">
            <v>90210-31067-00</v>
          </cell>
          <cell r="F6696">
            <v>-44398.15</v>
          </cell>
        </row>
        <row r="6697">
          <cell r="A6697" t="str">
            <v>90210-31068-00</v>
          </cell>
          <cell r="F6697">
            <v>-168320.44</v>
          </cell>
        </row>
        <row r="6698">
          <cell r="A6698" t="str">
            <v>90210-31069-00</v>
          </cell>
          <cell r="F6698">
            <v>-141274.54999999999</v>
          </cell>
        </row>
        <row r="6699">
          <cell r="A6699" t="str">
            <v>90210-31070-00</v>
          </cell>
          <cell r="F6699">
            <v>-62407.51</v>
          </cell>
        </row>
        <row r="6700">
          <cell r="A6700" t="str">
            <v>90210-31071-00</v>
          </cell>
          <cell r="F6700">
            <v>-45654.35</v>
          </cell>
        </row>
        <row r="6701">
          <cell r="A6701" t="str">
            <v>90210-31072-00</v>
          </cell>
          <cell r="F6701">
            <v>0</v>
          </cell>
        </row>
        <row r="6702">
          <cell r="A6702" t="str">
            <v>90210-31073-00</v>
          </cell>
          <cell r="F6702">
            <v>-107834.49</v>
          </cell>
        </row>
        <row r="6703">
          <cell r="A6703" t="str">
            <v>90210-31074-00</v>
          </cell>
          <cell r="F6703">
            <v>-186016.29</v>
          </cell>
        </row>
        <row r="6704">
          <cell r="A6704" t="str">
            <v>90210-31075-00</v>
          </cell>
          <cell r="F6704">
            <v>-396137.62</v>
          </cell>
        </row>
        <row r="6705">
          <cell r="A6705" t="str">
            <v>90210-31076-00</v>
          </cell>
          <cell r="F6705">
            <v>-215.21</v>
          </cell>
        </row>
        <row r="6706">
          <cell r="A6706" t="str">
            <v>90210-31077-00</v>
          </cell>
          <cell r="F6706">
            <v>-197455.78</v>
          </cell>
        </row>
        <row r="6707">
          <cell r="A6707" t="str">
            <v>90210-31078-00</v>
          </cell>
          <cell r="F6707">
            <v>-392.92</v>
          </cell>
        </row>
        <row r="6708">
          <cell r="A6708" t="str">
            <v>90210-31900-00</v>
          </cell>
          <cell r="F6708">
            <v>-3290119.22</v>
          </cell>
        </row>
        <row r="6709">
          <cell r="A6709" t="str">
            <v>90210-31910-00</v>
          </cell>
          <cell r="F6709">
            <v>-1047600.76</v>
          </cell>
        </row>
        <row r="6710">
          <cell r="A6710" t="str">
            <v>90210-43001-00</v>
          </cell>
          <cell r="F6710">
            <v>-1319501.21</v>
          </cell>
        </row>
        <row r="6711">
          <cell r="A6711" t="str">
            <v>90210-43002-00</v>
          </cell>
          <cell r="F6711">
            <v>-342683</v>
          </cell>
        </row>
        <row r="6712">
          <cell r="A6712" t="str">
            <v>90210-43003-00</v>
          </cell>
          <cell r="F6712">
            <v>-245165.28</v>
          </cell>
        </row>
        <row r="6713">
          <cell r="A6713" t="str">
            <v>90210-43005-00</v>
          </cell>
          <cell r="F6713">
            <v>-1404333.8</v>
          </cell>
        </row>
        <row r="6714">
          <cell r="A6714" t="str">
            <v>90210-43009-00</v>
          </cell>
          <cell r="F6714">
            <v>-487160.45</v>
          </cell>
        </row>
        <row r="6715">
          <cell r="A6715" t="str">
            <v>90210-43029-00</v>
          </cell>
          <cell r="F6715">
            <v>-187922.8</v>
          </cell>
        </row>
        <row r="6716">
          <cell r="A6716" t="str">
            <v>90210-43030-00</v>
          </cell>
          <cell r="F6716">
            <v>-1740620.24</v>
          </cell>
        </row>
        <row r="6717">
          <cell r="A6717" t="str">
            <v>90210-43031-00</v>
          </cell>
          <cell r="F6717">
            <v>-186685.45</v>
          </cell>
        </row>
        <row r="6718">
          <cell r="A6718" t="str">
            <v>90210-43032-00</v>
          </cell>
          <cell r="F6718">
            <v>-147554.94</v>
          </cell>
        </row>
        <row r="6719">
          <cell r="A6719" t="str">
            <v>90210-43041-00</v>
          </cell>
          <cell r="F6719">
            <v>-586499</v>
          </cell>
        </row>
        <row r="6720">
          <cell r="A6720" t="str">
            <v>90210-43052-00</v>
          </cell>
          <cell r="F6720">
            <v>0</v>
          </cell>
        </row>
        <row r="6721">
          <cell r="A6721" t="str">
            <v>90210-45001-00</v>
          </cell>
          <cell r="F6721">
            <v>-94715</v>
          </cell>
        </row>
        <row r="6722">
          <cell r="A6722" t="str">
            <v>90210-45002-00</v>
          </cell>
          <cell r="F6722">
            <v>-212989.5</v>
          </cell>
        </row>
        <row r="6723">
          <cell r="A6723" t="str">
            <v>90210-45003-00</v>
          </cell>
          <cell r="F6723">
            <v>-739.91</v>
          </cell>
        </row>
        <row r="6724">
          <cell r="A6724" t="str">
            <v>90210-45005-00</v>
          </cell>
          <cell r="F6724">
            <v>-21800</v>
          </cell>
        </row>
        <row r="6725">
          <cell r="A6725" t="str">
            <v>90210-45009-00</v>
          </cell>
          <cell r="F6725">
            <v>-45</v>
          </cell>
        </row>
        <row r="6726">
          <cell r="A6726" t="str">
            <v>90210-45029-00</v>
          </cell>
          <cell r="F6726">
            <v>-16805</v>
          </cell>
        </row>
        <row r="6727">
          <cell r="A6727" t="str">
            <v>90210-45030-00</v>
          </cell>
          <cell r="F6727">
            <v>-18250.8</v>
          </cell>
        </row>
        <row r="6728">
          <cell r="A6728" t="str">
            <v>90210-45031-00</v>
          </cell>
          <cell r="F6728">
            <v>-2669.47</v>
          </cell>
        </row>
        <row r="6729">
          <cell r="A6729" t="str">
            <v>90210-45032-00</v>
          </cell>
          <cell r="F6729">
            <v>-2274.5</v>
          </cell>
        </row>
        <row r="6730">
          <cell r="A6730" t="str">
            <v>90210-45052-00</v>
          </cell>
          <cell r="F6730">
            <v>0</v>
          </cell>
        </row>
        <row r="6731">
          <cell r="A6731" t="str">
            <v>90280-00000-00</v>
          </cell>
          <cell r="F6731">
            <v>0</v>
          </cell>
        </row>
        <row r="6732">
          <cell r="A6732" t="str">
            <v>90280-15001-00</v>
          </cell>
          <cell r="F6732">
            <v>-5696314</v>
          </cell>
        </row>
        <row r="6733">
          <cell r="A6733" t="str">
            <v>90280-15005-00</v>
          </cell>
          <cell r="F6733">
            <v>0</v>
          </cell>
        </row>
        <row r="6734">
          <cell r="A6734" t="str">
            <v>90290-00000-00</v>
          </cell>
          <cell r="F6734">
            <v>0</v>
          </cell>
        </row>
        <row r="6735">
          <cell r="A6735" t="str">
            <v>90290-15001-00</v>
          </cell>
          <cell r="F6735">
            <v>-33815293</v>
          </cell>
        </row>
        <row r="6736">
          <cell r="A6736" t="str">
            <v>90290-15005-00</v>
          </cell>
          <cell r="F6736">
            <v>0</v>
          </cell>
        </row>
        <row r="6737">
          <cell r="A6737" t="str">
            <v>90300-00000-00</v>
          </cell>
          <cell r="F6737">
            <v>0</v>
          </cell>
        </row>
        <row r="6738">
          <cell r="A6738" t="str">
            <v>90300-14001-00</v>
          </cell>
          <cell r="F6738">
            <v>-4941183.3899999997</v>
          </cell>
        </row>
        <row r="6739">
          <cell r="A6739" t="str">
            <v>90300-14049-00</v>
          </cell>
          <cell r="F6739">
            <v>-346327</v>
          </cell>
        </row>
        <row r="6740">
          <cell r="A6740" t="str">
            <v>90300-31022-00</v>
          </cell>
          <cell r="F6740">
            <v>0</v>
          </cell>
        </row>
        <row r="6741">
          <cell r="A6741" t="str">
            <v>90300-31072-00</v>
          </cell>
          <cell r="F6741">
            <v>-28443.35</v>
          </cell>
        </row>
        <row r="6742">
          <cell r="A6742" t="str">
            <v>90300-41001-00</v>
          </cell>
          <cell r="F6742">
            <v>-5120489.4400000004</v>
          </cell>
        </row>
        <row r="6743">
          <cell r="A6743" t="str">
            <v>90300-41002-00</v>
          </cell>
          <cell r="F6743">
            <v>-1868300.6</v>
          </cell>
        </row>
        <row r="6744">
          <cell r="A6744" t="str">
            <v>90300-41003-00</v>
          </cell>
          <cell r="F6744">
            <v>-2682623.9</v>
          </cell>
        </row>
        <row r="6745">
          <cell r="A6745" t="str">
            <v>90300-41004-00</v>
          </cell>
          <cell r="F6745">
            <v>-1563533.02</v>
          </cell>
        </row>
        <row r="6746">
          <cell r="A6746" t="str">
            <v>90300-41005-00</v>
          </cell>
          <cell r="F6746">
            <v>-638212.03</v>
          </cell>
        </row>
        <row r="6747">
          <cell r="A6747" t="str">
            <v>90300-41009-00</v>
          </cell>
          <cell r="F6747">
            <v>-575697.52</v>
          </cell>
        </row>
        <row r="6748">
          <cell r="A6748" t="str">
            <v>90300-41029-00</v>
          </cell>
          <cell r="F6748">
            <v>-164536.70000000001</v>
          </cell>
        </row>
        <row r="6749">
          <cell r="A6749" t="str">
            <v>90300-41030-00</v>
          </cell>
          <cell r="F6749">
            <v>-561769.81999999995</v>
          </cell>
        </row>
        <row r="6750">
          <cell r="A6750" t="str">
            <v>90300-41031-00</v>
          </cell>
          <cell r="F6750">
            <v>-493391.5</v>
          </cell>
        </row>
        <row r="6751">
          <cell r="A6751" t="str">
            <v>90300-41032-00</v>
          </cell>
          <cell r="F6751">
            <v>-168343.8</v>
          </cell>
        </row>
        <row r="6752">
          <cell r="A6752" t="str">
            <v>90300-41041-00</v>
          </cell>
          <cell r="F6752">
            <v>-48334.2</v>
          </cell>
        </row>
        <row r="6753">
          <cell r="A6753" t="str">
            <v>90300-41049-00</v>
          </cell>
          <cell r="F6753">
            <v>-104913.5</v>
          </cell>
        </row>
        <row r="6754">
          <cell r="A6754" t="str">
            <v>90300-41052-00</v>
          </cell>
          <cell r="F6754">
            <v>0</v>
          </cell>
        </row>
        <row r="6755">
          <cell r="A6755" t="str">
            <v>90300-45001-00</v>
          </cell>
          <cell r="F6755">
            <v>0</v>
          </cell>
        </row>
        <row r="6756">
          <cell r="A6756" t="str">
            <v>90300-45030-00</v>
          </cell>
          <cell r="F6756">
            <v>0</v>
          </cell>
        </row>
        <row r="6757">
          <cell r="A6757" t="str">
            <v>90300-45031-00</v>
          </cell>
          <cell r="F6757">
            <v>0</v>
          </cell>
        </row>
        <row r="6758">
          <cell r="A6758" t="str">
            <v>90300-45032-00</v>
          </cell>
          <cell r="F6758">
            <v>0</v>
          </cell>
        </row>
        <row r="6759">
          <cell r="A6759" t="str">
            <v>90360-00000-00</v>
          </cell>
          <cell r="F6759">
            <v>0</v>
          </cell>
        </row>
        <row r="6760">
          <cell r="A6760" t="str">
            <v>90360-31011-00</v>
          </cell>
          <cell r="F6760">
            <v>-6269.96</v>
          </cell>
        </row>
        <row r="6761">
          <cell r="A6761" t="str">
            <v>90360-31048-00</v>
          </cell>
          <cell r="F6761">
            <v>0</v>
          </cell>
        </row>
        <row r="6762">
          <cell r="A6762" t="str">
            <v>90360-45001-00</v>
          </cell>
          <cell r="F6762">
            <v>-150548.35999999999</v>
          </cell>
        </row>
        <row r="6763">
          <cell r="A6763" t="str">
            <v>90360-45002-00</v>
          </cell>
          <cell r="F6763">
            <v>-873103.35999999999</v>
          </cell>
        </row>
        <row r="6764">
          <cell r="A6764" t="str">
            <v>90360-45003-00</v>
          </cell>
          <cell r="F6764">
            <v>-683.27</v>
          </cell>
        </row>
        <row r="6765">
          <cell r="A6765" t="str">
            <v>90360-45005-00</v>
          </cell>
          <cell r="F6765">
            <v>-44426.26</v>
          </cell>
        </row>
        <row r="6766">
          <cell r="A6766" t="str">
            <v>90360-45009-00</v>
          </cell>
          <cell r="F6766">
            <v>-371</v>
          </cell>
        </row>
        <row r="6767">
          <cell r="A6767" t="str">
            <v>90360-45029-00</v>
          </cell>
          <cell r="F6767">
            <v>-186477.06</v>
          </cell>
        </row>
        <row r="6768">
          <cell r="A6768" t="str">
            <v>90360-45030-00</v>
          </cell>
          <cell r="F6768">
            <v>-18784.34</v>
          </cell>
        </row>
        <row r="6769">
          <cell r="A6769" t="str">
            <v>90360-45031-00</v>
          </cell>
          <cell r="F6769">
            <v>-7131.99</v>
          </cell>
        </row>
        <row r="6770">
          <cell r="A6770" t="str">
            <v>90360-45032-00</v>
          </cell>
          <cell r="F6770">
            <v>-1483.75</v>
          </cell>
        </row>
        <row r="6771">
          <cell r="A6771" t="str">
            <v>90360-45052-00</v>
          </cell>
          <cell r="F6771">
            <v>-29985.4</v>
          </cell>
        </row>
        <row r="6772">
          <cell r="A6772" t="str">
            <v>99000-00000-00</v>
          </cell>
          <cell r="F6772">
            <v>275982518.26999998</v>
          </cell>
        </row>
        <row r="6773">
          <cell r="F6773">
            <v>0</v>
          </cell>
        </row>
        <row r="6774">
          <cell r="F677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2">
          <cell r="G52">
            <v>9933500</v>
          </cell>
        </row>
        <row r="79">
          <cell r="G79">
            <v>133182.5</v>
          </cell>
          <cell r="I79">
            <v>6716.71</v>
          </cell>
        </row>
        <row r="136">
          <cell r="G136">
            <v>4748696.168300923</v>
          </cell>
          <cell r="I136">
            <v>1627193.3562589479</v>
          </cell>
        </row>
        <row r="214">
          <cell r="G214">
            <v>1096479.99</v>
          </cell>
          <cell r="I214">
            <v>524946.90999999992</v>
          </cell>
        </row>
        <row r="342">
          <cell r="G342">
            <v>1527889.9199999999</v>
          </cell>
          <cell r="I342">
            <v>951947.82000000018</v>
          </cell>
        </row>
        <row r="895">
          <cell r="G895">
            <v>30596476.440000005</v>
          </cell>
          <cell r="I895">
            <v>15281515.517704131</v>
          </cell>
        </row>
        <row r="1185">
          <cell r="G1185">
            <v>3178932.7499999995</v>
          </cell>
          <cell r="I1185">
            <v>1482021.3008393419</v>
          </cell>
        </row>
        <row r="1422">
          <cell r="G1422">
            <v>4415324.3199999994</v>
          </cell>
          <cell r="I1422">
            <v>2188995.3741515446</v>
          </cell>
        </row>
        <row r="1556">
          <cell r="G1556">
            <v>674860.85</v>
          </cell>
          <cell r="I1556">
            <v>225549.70000000013</v>
          </cell>
        </row>
        <row r="6217">
          <cell r="G6217">
            <v>16915743.439999986</v>
          </cell>
          <cell r="I6217">
            <v>3852001.0186846987</v>
          </cell>
        </row>
        <row r="6228">
          <cell r="G6228">
            <v>217695.71</v>
          </cell>
          <cell r="I6228">
            <v>45614.42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B70B-0268-4386-9C7F-2CCBAC825E98}">
  <dimension ref="A1:Z34"/>
  <sheetViews>
    <sheetView tabSelected="1" workbookViewId="0">
      <selection activeCell="AG9" sqref="AG9"/>
    </sheetView>
  </sheetViews>
  <sheetFormatPr defaultColWidth="8.7109375" defaultRowHeight="11.25" outlineLevelCol="1" x14ac:dyDescent="0.2"/>
  <cols>
    <col min="1" max="1" width="25.28515625" style="2" bestFit="1" customWidth="1"/>
    <col min="2" max="2" width="12.42578125" style="2" bestFit="1" customWidth="1"/>
    <col min="3" max="3" width="16.140625" style="2" customWidth="1"/>
    <col min="4" max="4" width="2" style="2" customWidth="1"/>
    <col min="5" max="5" width="9.5703125" style="2" bestFit="1" customWidth="1"/>
    <col min="6" max="6" width="2" style="2" customWidth="1"/>
    <col min="7" max="7" width="9.5703125" style="2" bestFit="1" customWidth="1"/>
    <col min="8" max="8" width="2" style="2" customWidth="1"/>
    <col min="9" max="9" width="9.5703125" style="2" bestFit="1" customWidth="1"/>
    <col min="10" max="10" width="2" style="2" customWidth="1"/>
    <col min="11" max="11" width="11.42578125" style="2" customWidth="1"/>
    <col min="12" max="12" width="2" style="2" customWidth="1"/>
    <col min="13" max="13" width="9" style="2" bestFit="1" customWidth="1"/>
    <col min="14" max="14" width="2" style="2" customWidth="1"/>
    <col min="15" max="15" width="15.28515625" style="2" customWidth="1"/>
    <col min="16" max="16" width="12.5703125" style="19" hidden="1" customWidth="1" outlineLevel="1"/>
    <col min="17" max="17" width="12" style="2" hidden="1" customWidth="1" outlineLevel="1"/>
    <col min="18" max="18" width="1.85546875" style="28" customWidth="1" collapsed="1"/>
    <col min="19" max="19" width="11.140625" style="19" hidden="1" customWidth="1" outlineLevel="1"/>
    <col min="20" max="20" width="11.7109375" style="19" hidden="1" customWidth="1" outlineLevel="1"/>
    <col min="21" max="21" width="8.85546875" style="19" hidden="1" customWidth="1" outlineLevel="1"/>
    <col min="22" max="22" width="14.140625" style="19" hidden="1" customWidth="1" outlineLevel="1"/>
    <col min="23" max="23" width="12" style="19" hidden="1" customWidth="1" outlineLevel="1"/>
    <col min="24" max="24" width="11.7109375" style="19" hidden="1" customWidth="1" outlineLevel="1"/>
    <col min="25" max="25" width="12" style="19" bestFit="1" customWidth="1" collapsed="1"/>
    <col min="26" max="26" width="8.7109375" style="19"/>
    <col min="27" max="16384" width="8.7109375" style="2"/>
  </cols>
  <sheetData>
    <row r="1" spans="1:26" x14ac:dyDescent="0.2">
      <c r="A1" s="1" t="s">
        <v>0</v>
      </c>
    </row>
    <row r="2" spans="1:26" x14ac:dyDescent="0.2">
      <c r="A2" s="1" t="s">
        <v>1</v>
      </c>
    </row>
    <row r="3" spans="1:26" ht="12" thickBot="1" x14ac:dyDescent="0.25">
      <c r="A3" s="1" t="s">
        <v>2</v>
      </c>
      <c r="O3" s="3"/>
      <c r="S3" s="24" t="s">
        <v>62</v>
      </c>
    </row>
    <row r="4" spans="1:26" ht="23.25" thickBot="1" x14ac:dyDescent="0.25">
      <c r="A4" s="4" t="s">
        <v>3</v>
      </c>
      <c r="B4" s="5" t="s">
        <v>4</v>
      </c>
      <c r="C4" s="6" t="s">
        <v>56</v>
      </c>
      <c r="D4" s="5"/>
      <c r="E4" s="5" t="s">
        <v>5</v>
      </c>
      <c r="F4" s="5"/>
      <c r="G4" s="5" t="s">
        <v>6</v>
      </c>
      <c r="H4" s="5"/>
      <c r="I4" s="5" t="s">
        <v>7</v>
      </c>
      <c r="J4" s="5"/>
      <c r="K4" s="6" t="s">
        <v>8</v>
      </c>
      <c r="L4" s="5"/>
      <c r="M4" s="6" t="s">
        <v>9</v>
      </c>
      <c r="N4" s="5"/>
      <c r="O4" s="7" t="s">
        <v>10</v>
      </c>
      <c r="P4" s="25" t="s">
        <v>57</v>
      </c>
      <c r="Q4" s="26" t="s">
        <v>58</v>
      </c>
      <c r="S4" s="21" t="s">
        <v>5</v>
      </c>
      <c r="T4" s="21" t="s">
        <v>6</v>
      </c>
      <c r="U4" s="21" t="s">
        <v>7</v>
      </c>
      <c r="V4" s="21" t="s">
        <v>8</v>
      </c>
      <c r="W4" s="21" t="s">
        <v>61</v>
      </c>
      <c r="X4" s="21" t="s">
        <v>58</v>
      </c>
      <c r="Y4" s="21" t="s">
        <v>60</v>
      </c>
      <c r="Z4" s="21" t="s">
        <v>58</v>
      </c>
    </row>
    <row r="5" spans="1:26" x14ac:dyDescent="0.2">
      <c r="A5" s="2" t="s">
        <v>11</v>
      </c>
      <c r="B5" s="2" t="s">
        <v>12</v>
      </c>
      <c r="C5" s="8">
        <v>9933500</v>
      </c>
      <c r="D5" s="9"/>
      <c r="E5" s="9">
        <v>0</v>
      </c>
      <c r="F5" s="9"/>
      <c r="G5" s="9">
        <v>0</v>
      </c>
      <c r="H5" s="9"/>
      <c r="I5" s="9">
        <v>0</v>
      </c>
      <c r="J5" s="9"/>
      <c r="K5" s="9">
        <v>0</v>
      </c>
      <c r="L5" s="9"/>
      <c r="M5" s="9">
        <v>0</v>
      </c>
      <c r="N5" s="8"/>
      <c r="O5" s="8">
        <f>SUM(C5:M5)</f>
        <v>9933500</v>
      </c>
      <c r="P5" s="25">
        <f>_xlfn.XLOOKUP(B5,[1]Sheet1!$A:$A,[1]Sheet1!$F:$F,"error",0,1)</f>
        <v>9933500</v>
      </c>
      <c r="Q5" s="27">
        <f>O5-P5</f>
        <v>0</v>
      </c>
      <c r="R5" s="29"/>
      <c r="S5" s="22">
        <v>0</v>
      </c>
      <c r="T5" s="22">
        <v>0</v>
      </c>
      <c r="U5" s="22">
        <v>0</v>
      </c>
      <c r="V5" s="22">
        <v>0</v>
      </c>
      <c r="W5" s="22">
        <f>C5+SUM(S5:V5)</f>
        <v>9933500</v>
      </c>
      <c r="X5" s="22">
        <f>W5-O5</f>
        <v>0</v>
      </c>
      <c r="Y5" s="23">
        <f>[2]Sheet1!$G$52</f>
        <v>9933500</v>
      </c>
      <c r="Z5" s="23">
        <f>Y5-O5</f>
        <v>0</v>
      </c>
    </row>
    <row r="6" spans="1:26" x14ac:dyDescent="0.2">
      <c r="A6" s="2" t="s">
        <v>13</v>
      </c>
      <c r="B6" s="2" t="s">
        <v>14</v>
      </c>
      <c r="C6" s="8">
        <v>102989.5</v>
      </c>
      <c r="D6" s="9"/>
      <c r="E6" s="9">
        <v>30193</v>
      </c>
      <c r="F6" s="9"/>
      <c r="G6" s="9">
        <v>0</v>
      </c>
      <c r="H6" s="9"/>
      <c r="I6" s="9">
        <v>0</v>
      </c>
      <c r="J6" s="9"/>
      <c r="K6" s="9">
        <v>0</v>
      </c>
      <c r="L6" s="9"/>
      <c r="M6" s="9">
        <v>0</v>
      </c>
      <c r="N6" s="8"/>
      <c r="O6" s="8">
        <f t="shared" ref="O6:O15" si="0">SUM(C6:M6)</f>
        <v>133182.5</v>
      </c>
      <c r="P6" s="25">
        <f>_xlfn.XLOOKUP(B6,[1]Sheet1!$A:$A,[1]Sheet1!$F:$F,"error",0,1)</f>
        <v>133182.5</v>
      </c>
      <c r="Q6" s="27">
        <f t="shared" ref="Q6:Q32" si="1">O6-P6</f>
        <v>0</v>
      </c>
      <c r="R6" s="29"/>
      <c r="S6" s="22">
        <v>30193</v>
      </c>
      <c r="T6" s="22">
        <v>0</v>
      </c>
      <c r="U6" s="22"/>
      <c r="V6" s="22"/>
      <c r="W6" s="22">
        <f t="shared" ref="W6:W15" si="2">C6+SUM(S6:V6)</f>
        <v>133182.5</v>
      </c>
      <c r="X6" s="22">
        <f t="shared" ref="X6:X15" si="3">W6-O6</f>
        <v>0</v>
      </c>
      <c r="Y6" s="23">
        <f>[2]Sheet1!$G$79</f>
        <v>133182.5</v>
      </c>
      <c r="Z6" s="23">
        <f>Y6-O6</f>
        <v>0</v>
      </c>
    </row>
    <row r="7" spans="1:26" x14ac:dyDescent="0.2">
      <c r="A7" s="2" t="s">
        <v>15</v>
      </c>
      <c r="B7" s="2" t="s">
        <v>16</v>
      </c>
      <c r="C7" s="8">
        <v>4577824.13</v>
      </c>
      <c r="D7" s="9"/>
      <c r="E7" s="9">
        <v>0</v>
      </c>
      <c r="F7" s="9"/>
      <c r="G7" s="9">
        <v>0</v>
      </c>
      <c r="H7" s="9"/>
      <c r="I7" s="9">
        <v>170872.04</v>
      </c>
      <c r="J7" s="9"/>
      <c r="K7" s="9">
        <v>0</v>
      </c>
      <c r="L7" s="9"/>
      <c r="M7" s="9">
        <v>0</v>
      </c>
      <c r="N7" s="8"/>
      <c r="O7" s="8">
        <f t="shared" si="0"/>
        <v>4748696.17</v>
      </c>
      <c r="P7" s="25">
        <f>_xlfn.XLOOKUP(B7,[1]Sheet1!$A:$A,[1]Sheet1!$F:$F,"error",0,1)</f>
        <v>4748696.17</v>
      </c>
      <c r="Q7" s="27">
        <f t="shared" si="1"/>
        <v>0</v>
      </c>
      <c r="R7" s="29"/>
      <c r="S7" s="22">
        <v>170872.04</v>
      </c>
      <c r="T7" s="22">
        <v>0</v>
      </c>
      <c r="U7" s="22"/>
      <c r="V7" s="22"/>
      <c r="W7" s="22">
        <f t="shared" si="2"/>
        <v>4748696.17</v>
      </c>
      <c r="X7" s="22">
        <f t="shared" si="3"/>
        <v>0</v>
      </c>
      <c r="Y7" s="23">
        <f>[2]Sheet1!$G$136</f>
        <v>4748696.168300923</v>
      </c>
      <c r="Z7" s="23">
        <f>Y7-O7</f>
        <v>-1.6990769654512405E-3</v>
      </c>
    </row>
    <row r="8" spans="1:26" x14ac:dyDescent="0.2">
      <c r="A8" s="2" t="s">
        <v>17</v>
      </c>
      <c r="B8" s="2" t="s">
        <v>18</v>
      </c>
      <c r="C8" s="8">
        <v>1053600</v>
      </c>
      <c r="D8" s="9"/>
      <c r="E8" s="9">
        <v>0</v>
      </c>
      <c r="F8" s="9"/>
      <c r="G8" s="9">
        <v>-35200</v>
      </c>
      <c r="H8" s="9"/>
      <c r="I8" s="9">
        <v>78079.990000000005</v>
      </c>
      <c r="J8" s="9"/>
      <c r="K8" s="9">
        <v>0</v>
      </c>
      <c r="L8" s="9"/>
      <c r="M8" s="9">
        <v>0</v>
      </c>
      <c r="N8" s="8"/>
      <c r="O8" s="8">
        <f t="shared" si="0"/>
        <v>1096479.99</v>
      </c>
      <c r="P8" s="25">
        <f>_xlfn.XLOOKUP(B8,[1]Sheet1!$A:$A,[1]Sheet1!$F:$F,"error",0,1)</f>
        <v>1096479.99</v>
      </c>
      <c r="Q8" s="27">
        <f t="shared" si="1"/>
        <v>0</v>
      </c>
      <c r="R8" s="29"/>
      <c r="S8" s="22">
        <v>78079.990000000005</v>
      </c>
      <c r="T8" s="22">
        <v>-35200</v>
      </c>
      <c r="U8" s="22"/>
      <c r="V8" s="22"/>
      <c r="W8" s="22">
        <f t="shared" si="2"/>
        <v>1096479.99</v>
      </c>
      <c r="X8" s="22">
        <f t="shared" si="3"/>
        <v>0</v>
      </c>
      <c r="Y8" s="23">
        <f>[2]Sheet1!$G$214</f>
        <v>1096479.99</v>
      </c>
      <c r="Z8" s="23">
        <f>Y8-O8</f>
        <v>0</v>
      </c>
    </row>
    <row r="9" spans="1:26" x14ac:dyDescent="0.2">
      <c r="A9" s="2" t="s">
        <v>19</v>
      </c>
      <c r="B9" s="2" t="s">
        <v>20</v>
      </c>
      <c r="C9" s="8">
        <v>1497790.72</v>
      </c>
      <c r="D9" s="9"/>
      <c r="E9" s="9">
        <v>34100</v>
      </c>
      <c r="F9" s="9"/>
      <c r="G9" s="9">
        <v>-20270</v>
      </c>
      <c r="H9" s="9"/>
      <c r="I9" s="9">
        <v>16269.2</v>
      </c>
      <c r="J9" s="9"/>
      <c r="K9" s="9">
        <v>0</v>
      </c>
      <c r="L9" s="9"/>
      <c r="M9" s="9">
        <v>0</v>
      </c>
      <c r="N9" s="8"/>
      <c r="O9" s="8">
        <f t="shared" si="0"/>
        <v>1527889.9199999999</v>
      </c>
      <c r="P9" s="25">
        <f>_xlfn.XLOOKUP(B9,[1]Sheet1!$A:$A,[1]Sheet1!$F:$F,"error",0,1)</f>
        <v>1527889.9199999999</v>
      </c>
      <c r="Q9" s="27">
        <f t="shared" si="1"/>
        <v>0</v>
      </c>
      <c r="R9" s="29"/>
      <c r="S9" s="22">
        <v>50369.2</v>
      </c>
      <c r="T9" s="22">
        <v>-20270</v>
      </c>
      <c r="U9" s="22"/>
      <c r="V9" s="22"/>
      <c r="W9" s="22">
        <f t="shared" si="2"/>
        <v>1527889.9199999999</v>
      </c>
      <c r="X9" s="22">
        <f t="shared" si="3"/>
        <v>0</v>
      </c>
      <c r="Y9" s="23">
        <f>[2]Sheet1!$G$342</f>
        <v>1527889.9199999999</v>
      </c>
      <c r="Z9" s="23">
        <f>Y9-O9</f>
        <v>0</v>
      </c>
    </row>
    <row r="10" spans="1:26" x14ac:dyDescent="0.2">
      <c r="A10" s="2" t="s">
        <v>21</v>
      </c>
      <c r="B10" s="2" t="s">
        <v>22</v>
      </c>
      <c r="C10" s="8">
        <v>27938169.329999998</v>
      </c>
      <c r="D10" s="9"/>
      <c r="E10" s="9">
        <v>447761.52</v>
      </c>
      <c r="F10" s="9"/>
      <c r="G10" s="9">
        <f>-317317.67-1356652.11</f>
        <v>-1673969.78</v>
      </c>
      <c r="H10" s="9"/>
      <c r="I10" s="9">
        <v>3884515.37</v>
      </c>
      <c r="J10" s="9"/>
      <c r="K10" s="9">
        <v>0</v>
      </c>
      <c r="L10" s="9"/>
      <c r="M10" s="9">
        <v>0</v>
      </c>
      <c r="N10" s="8"/>
      <c r="O10" s="8">
        <f t="shared" si="0"/>
        <v>30596476.439999998</v>
      </c>
      <c r="P10" s="25">
        <f>_xlfn.XLOOKUP(B10,[1]Sheet1!$A:$A,[1]Sheet1!$F:$F,"error",0,1)</f>
        <v>30596476.440000001</v>
      </c>
      <c r="Q10" s="27">
        <f t="shared" si="1"/>
        <v>0</v>
      </c>
      <c r="R10" s="29"/>
      <c r="S10" s="22">
        <v>4129044.84</v>
      </c>
      <c r="T10" s="22">
        <f>-1650013.88</f>
        <v>-1650013.88</v>
      </c>
      <c r="U10" s="22"/>
      <c r="V10" s="22">
        <v>140805</v>
      </c>
      <c r="W10" s="22">
        <f t="shared" si="2"/>
        <v>30558005.289999999</v>
      </c>
      <c r="X10" s="22">
        <f t="shared" si="3"/>
        <v>-38471.14999999851</v>
      </c>
      <c r="Y10" s="23">
        <f>[2]Sheet1!$G$895</f>
        <v>30596476.440000005</v>
      </c>
      <c r="Z10" s="23">
        <f>Y10-O10</f>
        <v>0</v>
      </c>
    </row>
    <row r="11" spans="1:26" x14ac:dyDescent="0.2">
      <c r="A11" s="2" t="s">
        <v>23</v>
      </c>
      <c r="B11" s="2" t="s">
        <v>24</v>
      </c>
      <c r="C11" s="8">
        <v>3112869.39</v>
      </c>
      <c r="D11" s="9"/>
      <c r="E11" s="9">
        <v>0</v>
      </c>
      <c r="F11" s="9"/>
      <c r="G11" s="9">
        <v>-65700</v>
      </c>
      <c r="H11" s="9"/>
      <c r="I11" s="9">
        <v>131763.35999999999</v>
      </c>
      <c r="J11" s="9"/>
      <c r="K11" s="9">
        <v>0</v>
      </c>
      <c r="L11" s="9"/>
      <c r="M11" s="9">
        <v>0</v>
      </c>
      <c r="N11" s="8"/>
      <c r="O11" s="8">
        <f t="shared" si="0"/>
        <v>3178932.75</v>
      </c>
      <c r="P11" s="25">
        <f>_xlfn.XLOOKUP(B11,[1]Sheet1!$A:$A,[1]Sheet1!$F:$F,"error",0,1)</f>
        <v>3178932.75</v>
      </c>
      <c r="Q11" s="27">
        <f t="shared" si="1"/>
        <v>0</v>
      </c>
      <c r="R11" s="29"/>
      <c r="S11" s="22">
        <v>131763.35999999999</v>
      </c>
      <c r="T11" s="22">
        <v>-65700</v>
      </c>
      <c r="U11" s="22"/>
      <c r="V11" s="22"/>
      <c r="W11" s="22">
        <f t="shared" si="2"/>
        <v>3178932.75</v>
      </c>
      <c r="X11" s="22">
        <f t="shared" si="3"/>
        <v>0</v>
      </c>
      <c r="Y11" s="23">
        <f>[2]Sheet1!$G$1185</f>
        <v>3178932.7499999995</v>
      </c>
      <c r="Z11" s="23">
        <f>Y11-O11</f>
        <v>0</v>
      </c>
    </row>
    <row r="12" spans="1:26" x14ac:dyDescent="0.2">
      <c r="A12" s="2" t="s">
        <v>25</v>
      </c>
      <c r="B12" s="2" t="s">
        <v>26</v>
      </c>
      <c r="C12" s="8">
        <v>4050691.86</v>
      </c>
      <c r="D12" s="9"/>
      <c r="E12" s="9">
        <v>393454.76</v>
      </c>
      <c r="F12" s="9"/>
      <c r="G12" s="9">
        <v>-172680</v>
      </c>
      <c r="H12" s="9"/>
      <c r="I12" s="9">
        <v>143857.70000000001</v>
      </c>
      <c r="J12" s="9"/>
      <c r="K12" s="9">
        <v>0</v>
      </c>
      <c r="L12" s="9"/>
      <c r="M12" s="9">
        <v>0</v>
      </c>
      <c r="N12" s="8"/>
      <c r="O12" s="8">
        <f t="shared" si="0"/>
        <v>4415324.32</v>
      </c>
      <c r="P12" s="25">
        <f>_xlfn.XLOOKUP(B12,[1]Sheet1!$A:$A,[1]Sheet1!$F:$F,"error",0,1)</f>
        <v>4415324.32</v>
      </c>
      <c r="Q12" s="27">
        <f t="shared" si="1"/>
        <v>0</v>
      </c>
      <c r="R12" s="29"/>
      <c r="S12" s="22">
        <v>537312.46</v>
      </c>
      <c r="T12" s="22">
        <v>-172680</v>
      </c>
      <c r="U12" s="22"/>
      <c r="V12" s="22"/>
      <c r="W12" s="22">
        <f t="shared" si="2"/>
        <v>4415324.32</v>
      </c>
      <c r="X12" s="22">
        <f t="shared" si="3"/>
        <v>0</v>
      </c>
      <c r="Y12" s="23">
        <f>[2]Sheet1!$G$1422</f>
        <v>4415324.3199999994</v>
      </c>
      <c r="Z12" s="23">
        <f>Y12-O12</f>
        <v>0</v>
      </c>
    </row>
    <row r="13" spans="1:26" x14ac:dyDescent="0.2">
      <c r="A13" s="2" t="s">
        <v>27</v>
      </c>
      <c r="B13" s="2" t="s">
        <v>28</v>
      </c>
      <c r="C13" s="8">
        <v>666516.17000000004</v>
      </c>
      <c r="D13" s="9"/>
      <c r="E13" s="9">
        <v>8344.68</v>
      </c>
      <c r="F13" s="9"/>
      <c r="G13" s="9">
        <v>0</v>
      </c>
      <c r="H13" s="9"/>
      <c r="I13" s="9">
        <v>0</v>
      </c>
      <c r="J13" s="9"/>
      <c r="K13" s="9">
        <v>0</v>
      </c>
      <c r="L13" s="9"/>
      <c r="M13" s="9">
        <v>0</v>
      </c>
      <c r="N13" s="8"/>
      <c r="O13" s="8">
        <f t="shared" si="0"/>
        <v>674860.85000000009</v>
      </c>
      <c r="P13" s="25">
        <f>_xlfn.XLOOKUP(B13,[1]Sheet1!$A:$A,[1]Sheet1!$F:$F,"error",0,1)</f>
        <v>674860.85</v>
      </c>
      <c r="Q13" s="27">
        <f t="shared" si="1"/>
        <v>0</v>
      </c>
      <c r="R13" s="29"/>
      <c r="S13" s="22">
        <v>8344.68</v>
      </c>
      <c r="T13" s="22"/>
      <c r="U13" s="22"/>
      <c r="V13" s="22"/>
      <c r="W13" s="22">
        <f t="shared" si="2"/>
        <v>674860.85000000009</v>
      </c>
      <c r="X13" s="22">
        <f t="shared" si="3"/>
        <v>0</v>
      </c>
      <c r="Y13" s="23">
        <f>[2]Sheet1!$G$1556</f>
        <v>674860.85</v>
      </c>
      <c r="Z13" s="23">
        <f>Y13-O13</f>
        <v>0</v>
      </c>
    </row>
    <row r="14" spans="1:26" x14ac:dyDescent="0.2">
      <c r="A14" s="2" t="s">
        <v>29</v>
      </c>
      <c r="B14" s="2" t="s">
        <v>30</v>
      </c>
      <c r="C14" s="8">
        <v>16378798.25</v>
      </c>
      <c r="D14" s="9"/>
      <c r="E14" s="9">
        <v>38470.04</v>
      </c>
      <c r="F14" s="9"/>
      <c r="G14" s="9">
        <v>0</v>
      </c>
      <c r="H14" s="9"/>
      <c r="I14" s="9">
        <v>498475.15</v>
      </c>
      <c r="J14" s="9"/>
      <c r="K14" s="9">
        <v>0</v>
      </c>
      <c r="L14" s="9"/>
      <c r="M14" s="9">
        <v>0</v>
      </c>
      <c r="N14" s="8"/>
      <c r="O14" s="8">
        <f t="shared" si="0"/>
        <v>16915743.439999998</v>
      </c>
      <c r="P14" s="25">
        <f>_xlfn.XLOOKUP(B14,[1]Sheet1!$A:$A,[1]Sheet1!$F:$F,"error",0,1)</f>
        <v>16915743.440000001</v>
      </c>
      <c r="Q14" s="27">
        <f t="shared" si="1"/>
        <v>0</v>
      </c>
      <c r="R14" s="29"/>
      <c r="S14" s="22">
        <v>1034666.85</v>
      </c>
      <c r="T14" s="22">
        <v>-515271.36</v>
      </c>
      <c r="U14" s="22"/>
      <c r="V14" s="22">
        <v>19549.7</v>
      </c>
      <c r="W14" s="22">
        <f t="shared" si="2"/>
        <v>16917743.440000001</v>
      </c>
      <c r="X14" s="22">
        <f t="shared" si="3"/>
        <v>2000.0000000037253</v>
      </c>
      <c r="Y14" s="23">
        <f>[2]Sheet1!$G$6217</f>
        <v>16915743.439999986</v>
      </c>
      <c r="Z14" s="23">
        <f>Y14-O14</f>
        <v>0</v>
      </c>
    </row>
    <row r="15" spans="1:26" x14ac:dyDescent="0.2">
      <c r="A15" s="2" t="s">
        <v>31</v>
      </c>
      <c r="B15" s="2" t="s">
        <v>32</v>
      </c>
      <c r="C15" s="11">
        <v>142533.79999999999</v>
      </c>
      <c r="D15" s="9"/>
      <c r="E15" s="12">
        <v>23159.09</v>
      </c>
      <c r="F15" s="9"/>
      <c r="G15" s="12">
        <v>0</v>
      </c>
      <c r="H15" s="9"/>
      <c r="I15" s="12">
        <v>52002.82</v>
      </c>
      <c r="J15" s="9"/>
      <c r="K15" s="12">
        <v>0</v>
      </c>
      <c r="L15" s="9"/>
      <c r="M15" s="12">
        <v>0</v>
      </c>
      <c r="N15" s="8"/>
      <c r="O15" s="11">
        <f t="shared" si="0"/>
        <v>217695.71</v>
      </c>
      <c r="P15" s="25">
        <f>_xlfn.XLOOKUP(B15,[1]Sheet1!$A:$A,[1]Sheet1!$F:$F,"error",0,1)</f>
        <v>217695.71</v>
      </c>
      <c r="Q15" s="27">
        <f t="shared" si="1"/>
        <v>0</v>
      </c>
      <c r="R15" s="29"/>
      <c r="S15" s="22">
        <v>75161.91</v>
      </c>
      <c r="T15" s="22"/>
      <c r="U15" s="22"/>
      <c r="V15" s="22"/>
      <c r="W15" s="22">
        <f t="shared" si="2"/>
        <v>217695.71</v>
      </c>
      <c r="X15" s="22">
        <f t="shared" si="3"/>
        <v>0</v>
      </c>
      <c r="Y15" s="23">
        <f>[2]Sheet1!$G$6228</f>
        <v>217695.71</v>
      </c>
      <c r="Z15" s="23">
        <f>Y15-O15</f>
        <v>0</v>
      </c>
    </row>
    <row r="16" spans="1:26" x14ac:dyDescent="0.2">
      <c r="B16" s="13"/>
      <c r="C16" s="9">
        <f>SUM(C5:C15)</f>
        <v>69455283.149999991</v>
      </c>
      <c r="D16" s="9"/>
      <c r="E16" s="9">
        <f>SUM(E5:E15)</f>
        <v>975483.09000000008</v>
      </c>
      <c r="F16" s="9"/>
      <c r="G16" s="9">
        <f>SUM(G5:G15)</f>
        <v>-1967819.78</v>
      </c>
      <c r="H16" s="9"/>
      <c r="I16" s="9">
        <f>SUM(I5:I15)</f>
        <v>4975835.6300000008</v>
      </c>
      <c r="J16" s="9"/>
      <c r="K16" s="9">
        <f>SUM(K5:K15)</f>
        <v>0</v>
      </c>
      <c r="L16" s="9"/>
      <c r="M16" s="9">
        <f>SUM(M5:M15)</f>
        <v>0</v>
      </c>
      <c r="N16" s="8"/>
      <c r="O16" s="8">
        <f>SUM(O5:O15)</f>
        <v>73438782.089999989</v>
      </c>
      <c r="P16" s="25">
        <f>SUM(P5:P15)</f>
        <v>73438782.089999989</v>
      </c>
      <c r="Q16" s="27">
        <f t="shared" si="1"/>
        <v>0</v>
      </c>
      <c r="R16" s="29"/>
      <c r="S16" s="20">
        <f>SUM(S5:S15)</f>
        <v>6245808.3300000001</v>
      </c>
      <c r="T16" s="20">
        <f t="shared" ref="T16:W16" si="4">SUM(T5:T15)</f>
        <v>-2459135.2399999998</v>
      </c>
      <c r="U16" s="20">
        <f t="shared" si="4"/>
        <v>0</v>
      </c>
      <c r="V16" s="20">
        <f t="shared" si="4"/>
        <v>160354.70000000001</v>
      </c>
      <c r="W16" s="20">
        <f t="shared" si="4"/>
        <v>73402310.939999998</v>
      </c>
      <c r="X16" s="20">
        <f t="shared" ref="X16" si="5">SUM(X5:X15)</f>
        <v>-36471.149999994785</v>
      </c>
      <c r="Y16" s="20">
        <f t="shared" ref="Y16" si="6">SUM(Y5:Y15)</f>
        <v>73438782.088300914</v>
      </c>
      <c r="Z16" s="20">
        <f t="shared" ref="Z16" si="7">SUM(Z5:Z15)</f>
        <v>-1.6990769654512405E-3</v>
      </c>
    </row>
    <row r="17" spans="1:26" x14ac:dyDescent="0.2">
      <c r="A17" s="2" t="s">
        <v>33</v>
      </c>
      <c r="B17" s="14"/>
      <c r="C17" s="9">
        <v>1543285.46</v>
      </c>
      <c r="D17" s="9"/>
      <c r="E17" s="9">
        <v>5994680.29</v>
      </c>
      <c r="F17" s="9"/>
      <c r="G17" s="9">
        <f>-16757.44-176824</f>
        <v>-193581.44</v>
      </c>
      <c r="H17" s="9"/>
      <c r="I17" s="9">
        <v>-4645414.13</v>
      </c>
      <c r="J17" s="9"/>
      <c r="K17" s="9"/>
      <c r="L17" s="9"/>
      <c r="M17" s="9"/>
      <c r="N17" s="8"/>
      <c r="O17" s="8">
        <f t="shared" ref="O17" si="8">C17+E17+G17+I17+K17+M17</f>
        <v>2698970.1799999997</v>
      </c>
      <c r="P17" s="25" cm="1">
        <f t="array" ref="P17">SUM(
  _xlfn.XLOOKUP(
    {"15010-00000-00","15010-00000-03","15010-00000-11","15010-00000-12","15010-00000-13","15010-00000-14","15010-00000-17","15010-00000-18","15010-00000-19","15010-00000-20","15010-00000-21","15010-00000-40"},
    [1]Sheet1!$A:$A,
    [1]Sheet1!$F:$F,
    0,
    0
  )
)</f>
        <v>2698970.1799999997</v>
      </c>
      <c r="Q17" s="27">
        <f t="shared" si="1"/>
        <v>0</v>
      </c>
      <c r="R17" s="29"/>
    </row>
    <row r="18" spans="1:26" ht="12" thickBot="1" x14ac:dyDescent="0.25">
      <c r="B18" s="13"/>
      <c r="C18" s="15">
        <f>SUM(C16:C17)</f>
        <v>70998568.609999985</v>
      </c>
      <c r="D18" s="15"/>
      <c r="E18" s="15">
        <f>SUM(E16:E17)</f>
        <v>6970163.3799999999</v>
      </c>
      <c r="F18" s="15"/>
      <c r="G18" s="15">
        <f>SUM(G16:G17)</f>
        <v>-2161401.2200000002</v>
      </c>
      <c r="H18" s="15"/>
      <c r="I18" s="15">
        <f>SUM(I16:I17)</f>
        <v>330421.50000000093</v>
      </c>
      <c r="J18" s="15"/>
      <c r="K18" s="15">
        <f>SUM(K16:K17)</f>
        <v>0</v>
      </c>
      <c r="L18" s="15"/>
      <c r="M18" s="15">
        <f>SUM(M16:M17)</f>
        <v>0</v>
      </c>
      <c r="N18" s="16"/>
      <c r="O18" s="16">
        <f>SUM(O16:O17)</f>
        <v>76137752.269999981</v>
      </c>
      <c r="P18" s="25"/>
      <c r="Q18" s="27"/>
      <c r="R18" s="29"/>
    </row>
    <row r="19" spans="1:26" ht="12" thickTop="1" x14ac:dyDescent="0.2">
      <c r="P19" s="25"/>
      <c r="Q19" s="27"/>
      <c r="R19" s="29"/>
    </row>
    <row r="20" spans="1:26" ht="12" thickBot="1" x14ac:dyDescent="0.25">
      <c r="E20" s="10"/>
      <c r="P20" s="25"/>
      <c r="Q20" s="27"/>
      <c r="R20" s="29"/>
    </row>
    <row r="21" spans="1:26" ht="23.25" thickBot="1" x14ac:dyDescent="0.25">
      <c r="A21" s="4" t="s">
        <v>3</v>
      </c>
      <c r="B21" s="5" t="s">
        <v>4</v>
      </c>
      <c r="C21" s="6" t="s">
        <v>56</v>
      </c>
      <c r="D21" s="5"/>
      <c r="E21" s="5" t="s">
        <v>34</v>
      </c>
      <c r="F21" s="5"/>
      <c r="G21" s="5" t="s">
        <v>6</v>
      </c>
      <c r="H21" s="5"/>
      <c r="I21" s="5" t="s">
        <v>7</v>
      </c>
      <c r="J21" s="5"/>
      <c r="K21" s="6" t="s">
        <v>8</v>
      </c>
      <c r="L21" s="5"/>
      <c r="M21" s="6" t="s">
        <v>9</v>
      </c>
      <c r="N21" s="5"/>
      <c r="O21" s="7" t="s">
        <v>10</v>
      </c>
      <c r="P21" s="25"/>
      <c r="Q21" s="27"/>
      <c r="R21" s="29"/>
      <c r="S21" s="21" t="s">
        <v>34</v>
      </c>
      <c r="T21" s="21" t="s">
        <v>6</v>
      </c>
      <c r="U21" s="21" t="s">
        <v>7</v>
      </c>
      <c r="V21" s="21" t="s">
        <v>8</v>
      </c>
      <c r="W21" s="21" t="s">
        <v>59</v>
      </c>
      <c r="X21" s="21" t="s">
        <v>58</v>
      </c>
      <c r="Y21" s="21" t="s">
        <v>60</v>
      </c>
      <c r="Z21" s="21" t="s">
        <v>58</v>
      </c>
    </row>
    <row r="22" spans="1:26" x14ac:dyDescent="0.2">
      <c r="A22" s="2" t="s">
        <v>35</v>
      </c>
      <c r="B22" s="2" t="s">
        <v>36</v>
      </c>
      <c r="C22" s="9">
        <v>-1716.5</v>
      </c>
      <c r="D22" s="9"/>
      <c r="E22" s="9">
        <v>-5000.21</v>
      </c>
      <c r="F22" s="9"/>
      <c r="G22" s="9">
        <v>0</v>
      </c>
      <c r="H22" s="9"/>
      <c r="I22" s="9">
        <v>0</v>
      </c>
      <c r="J22" s="9"/>
      <c r="K22" s="9">
        <v>0</v>
      </c>
      <c r="L22" s="9"/>
      <c r="M22" s="9">
        <v>0</v>
      </c>
      <c r="N22" s="8"/>
      <c r="O22" s="8">
        <f t="shared" ref="O22:O31" si="9">SUM(C22:M22)</f>
        <v>-6716.71</v>
      </c>
      <c r="P22" s="25">
        <f>_xlfn.XLOOKUP(B22,[1]Sheet1!$A:$A,[1]Sheet1!$F:$F,"error",0,1)</f>
        <v>-6716.71</v>
      </c>
      <c r="Q22" s="27">
        <f t="shared" si="1"/>
        <v>0</v>
      </c>
      <c r="R22" s="29"/>
      <c r="Y22" s="23">
        <f>[2]Sheet1!$I$79</f>
        <v>6716.71</v>
      </c>
      <c r="Z22" s="23">
        <f>-Y22-O22</f>
        <v>0</v>
      </c>
    </row>
    <row r="23" spans="1:26" x14ac:dyDescent="0.2">
      <c r="A23" s="2" t="s">
        <v>37</v>
      </c>
      <c r="B23" s="2" t="s">
        <v>38</v>
      </c>
      <c r="C23" s="8">
        <v>-1200179.93</v>
      </c>
      <c r="D23" s="9"/>
      <c r="E23" s="9">
        <v>-427013.43</v>
      </c>
      <c r="F23" s="9"/>
      <c r="G23" s="9">
        <v>0</v>
      </c>
      <c r="H23" s="9"/>
      <c r="I23" s="9">
        <v>0</v>
      </c>
      <c r="J23" s="9"/>
      <c r="K23" s="9">
        <v>0</v>
      </c>
      <c r="L23" s="9"/>
      <c r="M23" s="9">
        <v>0</v>
      </c>
      <c r="N23" s="8"/>
      <c r="O23" s="8">
        <f t="shared" si="9"/>
        <v>-1627193.3599999999</v>
      </c>
      <c r="P23" s="25">
        <f>_xlfn.XLOOKUP(B23,[1]Sheet1!$A:$A,[1]Sheet1!$F:$F,"error",0,1)</f>
        <v>-1627193.36</v>
      </c>
      <c r="Q23" s="27">
        <f t="shared" si="1"/>
        <v>0</v>
      </c>
      <c r="R23" s="29"/>
      <c r="Y23" s="23">
        <f>[2]Sheet1!$I$136</f>
        <v>1627193.3562589479</v>
      </c>
      <c r="Z23" s="23">
        <f>-Y23-O23</f>
        <v>3.7410520017147064E-3</v>
      </c>
    </row>
    <row r="24" spans="1:26" x14ac:dyDescent="0.2">
      <c r="A24" s="2" t="s">
        <v>39</v>
      </c>
      <c r="B24" s="2" t="s">
        <v>40</v>
      </c>
      <c r="C24" s="8">
        <v>-427214.16</v>
      </c>
      <c r="D24" s="9"/>
      <c r="E24" s="9">
        <v>-131511.92000000001</v>
      </c>
      <c r="F24" s="9"/>
      <c r="G24" s="9">
        <v>33779.17</v>
      </c>
      <c r="H24" s="9"/>
      <c r="I24" s="9">
        <v>0</v>
      </c>
      <c r="J24" s="9"/>
      <c r="K24" s="9">
        <v>0</v>
      </c>
      <c r="L24" s="9"/>
      <c r="M24" s="9">
        <v>0</v>
      </c>
      <c r="N24" s="8"/>
      <c r="O24" s="8">
        <f t="shared" si="9"/>
        <v>-524946.90999999992</v>
      </c>
      <c r="P24" s="25">
        <f>_xlfn.XLOOKUP(B24,[1]Sheet1!$A:$A,[1]Sheet1!$F:$F,"error",0,1)</f>
        <v>-524946.91</v>
      </c>
      <c r="Q24" s="27">
        <f t="shared" si="1"/>
        <v>0</v>
      </c>
      <c r="R24" s="29"/>
      <c r="Y24" s="23">
        <f>[2]Sheet1!$I$214</f>
        <v>524946.90999999992</v>
      </c>
      <c r="Z24" s="23">
        <f>-Y24-O24</f>
        <v>0</v>
      </c>
    </row>
    <row r="25" spans="1:26" x14ac:dyDescent="0.2">
      <c r="A25" s="2" t="s">
        <v>41</v>
      </c>
      <c r="B25" s="2" t="s">
        <v>42</v>
      </c>
      <c r="C25" s="8">
        <v>-793406.34</v>
      </c>
      <c r="D25" s="9"/>
      <c r="E25" s="9">
        <v>-178811.48</v>
      </c>
      <c r="F25" s="9"/>
      <c r="G25" s="9">
        <v>20270</v>
      </c>
      <c r="H25" s="9"/>
      <c r="I25" s="9">
        <v>0</v>
      </c>
      <c r="J25" s="9"/>
      <c r="K25" s="9">
        <v>0</v>
      </c>
      <c r="L25" s="9"/>
      <c r="M25" s="9">
        <v>0</v>
      </c>
      <c r="N25" s="8"/>
      <c r="O25" s="8">
        <f t="shared" si="9"/>
        <v>-951947.82</v>
      </c>
      <c r="P25" s="25">
        <f>_xlfn.XLOOKUP(B25,[1]Sheet1!$A:$A,[1]Sheet1!$F:$F,"error",0,1)</f>
        <v>-951947.82</v>
      </c>
      <c r="Q25" s="27">
        <f t="shared" si="1"/>
        <v>0</v>
      </c>
      <c r="R25" s="29"/>
      <c r="Y25" s="23">
        <f>[2]Sheet1!$I$342</f>
        <v>951947.82000000018</v>
      </c>
      <c r="Z25" s="23">
        <f>-Y25-O25</f>
        <v>0</v>
      </c>
    </row>
    <row r="26" spans="1:26" x14ac:dyDescent="0.2">
      <c r="A26" s="2" t="s">
        <v>43</v>
      </c>
      <c r="B26" s="2" t="s">
        <v>44</v>
      </c>
      <c r="C26" s="8">
        <v>-11822579.33</v>
      </c>
      <c r="D26" s="9"/>
      <c r="E26" s="9">
        <v>-4510012.71</v>
      </c>
      <c r="F26" s="9"/>
      <c r="G26" s="9">
        <f>669419.32+385034.25</f>
        <v>1054453.5699999998</v>
      </c>
      <c r="H26" s="9"/>
      <c r="I26" s="9">
        <v>-3377.05</v>
      </c>
      <c r="J26" s="9"/>
      <c r="K26" s="9">
        <v>0</v>
      </c>
      <c r="L26" s="9"/>
      <c r="M26" s="9">
        <v>0</v>
      </c>
      <c r="N26" s="8"/>
      <c r="O26" s="8">
        <f t="shared" si="9"/>
        <v>-15281515.52</v>
      </c>
      <c r="P26" s="25">
        <f>_xlfn.XLOOKUP(B26,[1]Sheet1!$A:$A,[1]Sheet1!$F:$F,"error",0,1)</f>
        <v>-15281515.52</v>
      </c>
      <c r="Q26" s="27">
        <f t="shared" si="1"/>
        <v>0</v>
      </c>
      <c r="R26" s="29"/>
      <c r="Y26" s="23">
        <f>[2]Sheet1!$I$895</f>
        <v>15281515.517704131</v>
      </c>
      <c r="Z26" s="23">
        <f>-Y26-O26</f>
        <v>2.2958684712648392E-3</v>
      </c>
    </row>
    <row r="27" spans="1:26" x14ac:dyDescent="0.2">
      <c r="A27" s="2" t="s">
        <v>45</v>
      </c>
      <c r="B27" s="2" t="s">
        <v>46</v>
      </c>
      <c r="C27" s="8">
        <v>-1148169.06</v>
      </c>
      <c r="D27" s="9"/>
      <c r="E27" s="9">
        <v>-375248.95</v>
      </c>
      <c r="F27" s="9"/>
      <c r="G27" s="9">
        <v>41316.69</v>
      </c>
      <c r="H27" s="9"/>
      <c r="I27" s="9">
        <v>80.02</v>
      </c>
      <c r="J27" s="9"/>
      <c r="K27" s="9">
        <v>0</v>
      </c>
      <c r="L27" s="9"/>
      <c r="M27" s="9">
        <v>0</v>
      </c>
      <c r="N27" s="8"/>
      <c r="O27" s="8">
        <f t="shared" si="9"/>
        <v>-1482021.3</v>
      </c>
      <c r="P27" s="25">
        <f>_xlfn.XLOOKUP(B27,[1]Sheet1!$A:$A,[1]Sheet1!$F:$F,"error",0,1)</f>
        <v>-1482021.3</v>
      </c>
      <c r="Q27" s="27">
        <f t="shared" si="1"/>
        <v>0</v>
      </c>
      <c r="R27" s="29"/>
      <c r="Y27" s="23">
        <f>[2]Sheet1!$I$1185</f>
        <v>1482021.3008393419</v>
      </c>
      <c r="Z27" s="23">
        <f>-Y27-O27</f>
        <v>-8.393418975174427E-4</v>
      </c>
    </row>
    <row r="28" spans="1:26" x14ac:dyDescent="0.2">
      <c r="A28" s="2" t="s">
        <v>47</v>
      </c>
      <c r="B28" s="2" t="s">
        <v>48</v>
      </c>
      <c r="C28" s="8">
        <v>-1758943.48</v>
      </c>
      <c r="D28" s="9"/>
      <c r="E28" s="9">
        <v>-526616.53</v>
      </c>
      <c r="F28" s="9"/>
      <c r="G28" s="9">
        <v>96509.16</v>
      </c>
      <c r="H28" s="9"/>
      <c r="I28" s="9">
        <v>55.48</v>
      </c>
      <c r="J28" s="9"/>
      <c r="K28" s="9">
        <v>0</v>
      </c>
      <c r="L28" s="9"/>
      <c r="M28" s="9">
        <v>0</v>
      </c>
      <c r="N28" s="8"/>
      <c r="O28" s="8">
        <f t="shared" si="9"/>
        <v>-2188995.3699999996</v>
      </c>
      <c r="P28" s="25">
        <f>_xlfn.XLOOKUP(B28,[1]Sheet1!$A:$A,[1]Sheet1!$F:$F,"error",0,1)</f>
        <v>-2188995.37</v>
      </c>
      <c r="Q28" s="27">
        <f t="shared" si="1"/>
        <v>0</v>
      </c>
      <c r="R28" s="29"/>
      <c r="Y28" s="23">
        <f>[2]Sheet1!$I$1422</f>
        <v>2188995.3741515446</v>
      </c>
      <c r="Z28" s="23">
        <f>-Y28-O28</f>
        <v>-4.1515449993312359E-3</v>
      </c>
    </row>
    <row r="29" spans="1:26" x14ac:dyDescent="0.2">
      <c r="A29" s="2" t="s">
        <v>49</v>
      </c>
      <c r="B29" s="2" t="s">
        <v>50</v>
      </c>
      <c r="C29" s="8">
        <v>-175359.51</v>
      </c>
      <c r="D29" s="9"/>
      <c r="E29" s="9">
        <v>-50190.19</v>
      </c>
      <c r="F29" s="9"/>
      <c r="G29" s="9">
        <v>0</v>
      </c>
      <c r="H29" s="9"/>
      <c r="I29" s="9">
        <v>0</v>
      </c>
      <c r="J29" s="9"/>
      <c r="K29" s="9">
        <v>0</v>
      </c>
      <c r="L29" s="9"/>
      <c r="M29" s="9">
        <v>0</v>
      </c>
      <c r="N29" s="8"/>
      <c r="O29" s="8">
        <f t="shared" si="9"/>
        <v>-225549.7</v>
      </c>
      <c r="P29" s="25">
        <f>_xlfn.XLOOKUP(B29,[1]Sheet1!$A:$A,[1]Sheet1!$F:$F,"error",0,1)</f>
        <v>-225549.7</v>
      </c>
      <c r="Q29" s="27">
        <f t="shared" si="1"/>
        <v>0</v>
      </c>
      <c r="R29" s="29"/>
      <c r="Y29" s="23">
        <f>[2]Sheet1!$I$1556</f>
        <v>225549.70000000013</v>
      </c>
      <c r="Z29" s="23">
        <f>-Y29-O29</f>
        <v>0</v>
      </c>
    </row>
    <row r="30" spans="1:26" x14ac:dyDescent="0.2">
      <c r="A30" s="2" t="s">
        <v>51</v>
      </c>
      <c r="B30" s="2" t="s">
        <v>52</v>
      </c>
      <c r="C30" s="17">
        <v>-2887501.59</v>
      </c>
      <c r="D30" s="9"/>
      <c r="E30" s="9">
        <v>-1080647.6299999999</v>
      </c>
      <c r="F30" s="9"/>
      <c r="G30" s="9">
        <v>109792.4</v>
      </c>
      <c r="H30" s="9"/>
      <c r="I30" s="9">
        <v>6355.61</v>
      </c>
      <c r="J30" s="9"/>
      <c r="K30" s="9">
        <v>0</v>
      </c>
      <c r="L30" s="9"/>
      <c r="M30" s="9">
        <v>0</v>
      </c>
      <c r="N30" s="8"/>
      <c r="O30" s="17">
        <f t="shared" si="9"/>
        <v>-3852001.21</v>
      </c>
      <c r="P30" s="25">
        <f>_xlfn.XLOOKUP(B30,[1]Sheet1!$A:$A,[1]Sheet1!$F:$F,"error",0,1)</f>
        <v>-3852001.21</v>
      </c>
      <c r="Q30" s="27">
        <f t="shared" si="1"/>
        <v>0</v>
      </c>
      <c r="R30" s="29"/>
      <c r="Y30" s="23">
        <f>[2]Sheet1!$I$6217</f>
        <v>3852001.0186846987</v>
      </c>
      <c r="Z30" s="23">
        <f>-Y30-O30</f>
        <v>0.19131530122831464</v>
      </c>
    </row>
    <row r="31" spans="1:26" x14ac:dyDescent="0.2">
      <c r="A31" s="2" t="s">
        <v>53</v>
      </c>
      <c r="B31" s="2" t="s">
        <v>54</v>
      </c>
      <c r="C31" s="11">
        <v>-23338.65</v>
      </c>
      <c r="D31" s="9"/>
      <c r="E31" s="12">
        <v>-22275.77</v>
      </c>
      <c r="F31" s="9"/>
      <c r="G31" s="12">
        <v>0</v>
      </c>
      <c r="H31" s="9"/>
      <c r="I31" s="12">
        <v>0</v>
      </c>
      <c r="J31" s="9"/>
      <c r="K31" s="12">
        <v>0</v>
      </c>
      <c r="L31" s="9"/>
      <c r="M31" s="12">
        <v>0</v>
      </c>
      <c r="N31" s="8"/>
      <c r="O31" s="11">
        <f t="shared" si="9"/>
        <v>-45614.42</v>
      </c>
      <c r="P31" s="25">
        <f>_xlfn.XLOOKUP(B31,[1]Sheet1!$A:$A,[1]Sheet1!$F:$F,"error",0,1)</f>
        <v>-45614.42</v>
      </c>
      <c r="Q31" s="27">
        <f t="shared" si="1"/>
        <v>0</v>
      </c>
      <c r="R31" s="29"/>
      <c r="Y31" s="23">
        <f>[2]Sheet1!$I$6228</f>
        <v>45614.42</v>
      </c>
      <c r="Z31" s="23">
        <f>-Y31-O31</f>
        <v>0</v>
      </c>
    </row>
    <row r="32" spans="1:26" x14ac:dyDescent="0.2">
      <c r="B32" s="18"/>
      <c r="C32" s="9">
        <f>SUM(C22:C31)</f>
        <v>-20238408.550000001</v>
      </c>
      <c r="D32" s="9"/>
      <c r="E32" s="9">
        <f>SUM(E22:E31)</f>
        <v>-7307328.8200000003</v>
      </c>
      <c r="F32" s="9"/>
      <c r="G32" s="9">
        <f>SUM(G22:G31)</f>
        <v>1356120.9899999995</v>
      </c>
      <c r="H32" s="9"/>
      <c r="I32" s="9">
        <f>SUM(I22:I31)</f>
        <v>3114.0599999999995</v>
      </c>
      <c r="J32" s="9"/>
      <c r="K32" s="9">
        <f>SUM(K22:K31)</f>
        <v>0</v>
      </c>
      <c r="L32" s="9"/>
      <c r="M32" s="9">
        <f>SUM(M22:M31)</f>
        <v>0</v>
      </c>
      <c r="N32" s="8"/>
      <c r="O32" s="9">
        <f>SUM(O22:O31)</f>
        <v>-26186502.320000004</v>
      </c>
      <c r="P32" s="25">
        <f>SUM(P22:P31)</f>
        <v>-26186502.320000004</v>
      </c>
      <c r="Q32" s="27">
        <f t="shared" si="1"/>
        <v>0</v>
      </c>
      <c r="R32" s="29"/>
      <c r="S32" s="20">
        <f t="shared" ref="S32:X32" si="10">SUM(S22:S31)</f>
        <v>0</v>
      </c>
      <c r="T32" s="20">
        <f t="shared" si="10"/>
        <v>0</v>
      </c>
      <c r="U32" s="20">
        <f t="shared" si="10"/>
        <v>0</v>
      </c>
      <c r="V32" s="20">
        <f t="shared" si="10"/>
        <v>0</v>
      </c>
      <c r="W32" s="20">
        <f t="shared" si="10"/>
        <v>0</v>
      </c>
      <c r="X32" s="20">
        <f t="shared" si="10"/>
        <v>0</v>
      </c>
      <c r="Y32" s="20">
        <f>SUM(Y22:Y31)</f>
        <v>26186502.127638664</v>
      </c>
      <c r="Z32" s="20">
        <f>SUM(Z22:Z31)</f>
        <v>0.19236133480444551</v>
      </c>
    </row>
    <row r="33" spans="1:17" x14ac:dyDescent="0.2">
      <c r="P33" s="25"/>
      <c r="Q33" s="26"/>
    </row>
    <row r="34" spans="1:17" x14ac:dyDescent="0.2">
      <c r="A34" s="2" t="s">
        <v>55</v>
      </c>
      <c r="B34" s="18"/>
      <c r="C34" s="8">
        <f>C32+C18</f>
        <v>50760160.059999987</v>
      </c>
      <c r="E34" s="8"/>
      <c r="G34" s="8">
        <f>G32+G18</f>
        <v>-805280.23000000068</v>
      </c>
      <c r="I34" s="8">
        <f>I32+I18</f>
        <v>333535.56000000093</v>
      </c>
      <c r="K34" s="8">
        <f>K32+K18</f>
        <v>0</v>
      </c>
      <c r="M34" s="8">
        <f>M32+M18</f>
        <v>0</v>
      </c>
      <c r="O34" s="8">
        <f>O32+O18</f>
        <v>49951249.949999973</v>
      </c>
      <c r="P34" s="25"/>
      <c r="Q34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PPE Rollforward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Dickinson-Cove</dc:creator>
  <cp:lastModifiedBy>Travis Pickens</cp:lastModifiedBy>
  <dcterms:created xsi:type="dcterms:W3CDTF">2026-01-24T01:15:23Z</dcterms:created>
  <dcterms:modified xsi:type="dcterms:W3CDTF">2026-01-28T19:15:11Z</dcterms:modified>
</cp:coreProperties>
</file>